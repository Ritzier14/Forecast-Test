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pdc.sharepoint.com/sites/ICinfProjectMgmt/ProjectFiles/WA-Water_supply/WA571 Lake Mangamahoe River Intake/09. Financial/Month End/Mar 2026/"/>
    </mc:Choice>
  </mc:AlternateContent>
  <xr:revisionPtr revIDLastSave="5701" documentId="8_{5A493A59-3A3B-4307-AB7B-DCB3E7BC4C75}" xr6:coauthVersionLast="47" xr6:coauthVersionMax="47" xr10:uidLastSave="{DF774800-425F-499F-839A-DA06F3890C9C}"/>
  <bookViews>
    <workbookView xWindow="15120" yWindow="-16320" windowWidth="29040" windowHeight="15720" activeTab="1" xr2:uid="{00000000-000D-0000-FFFF-FFFF00000000}"/>
  </bookViews>
  <sheets>
    <sheet name="CTC" sheetId="1" r:id="rId1"/>
    <sheet name="Report" sheetId="11" r:id="rId2"/>
    <sheet name="Contingency" sheetId="6" r:id="rId3"/>
    <sheet name="Piviot Table" sheetId="4" r:id="rId4"/>
    <sheet name="Forecast Accuracy" sheetId="7" r:id="rId5"/>
    <sheet name="Financial Report" sheetId="5" state="hidden" r:id="rId6"/>
    <sheet name="Check" sheetId="3" r:id="rId7"/>
    <sheet name="Raw Data Entry" sheetId="2" r:id="rId8"/>
  </sheets>
  <definedNames>
    <definedName name="_xlnm._FilterDatabase" localSheetId="0" hidden="1">CTC!$A$9:$BG$76</definedName>
    <definedName name="_xlnm._FilterDatabase" localSheetId="7" hidden="1">'Raw Data Entry'!$A$1:$V$1112</definedName>
    <definedName name="_xlpm.names" hidden="1" xlm="1">#NAME?</definedName>
    <definedName name="_xlpm.tasks" hidden="1" xlm="1">#NAME?</definedName>
    <definedName name="Checklist">_xlfn.ANCHORARRAY(Check!$A$2)</definedName>
    <definedName name="_xlnm.Print_Area" localSheetId="0">CTC!$A$1:$BG$123</definedName>
    <definedName name="_xlnm.Print_Area" localSheetId="1">Report!$B$2:$K$77</definedName>
  </definedNames>
  <calcPr calcId="191028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1" l="1"/>
  <c r="F11" i="11"/>
  <c r="F12" i="11" l="1"/>
  <c r="F14" i="11" s="1"/>
  <c r="D64" i="1"/>
  <c r="E64" i="1"/>
  <c r="AV64" i="1" s="1"/>
  <c r="H64" i="1"/>
  <c r="BB64" i="1" s="1"/>
  <c r="J64" i="1" s="1"/>
  <c r="I64" i="1"/>
  <c r="AU64" i="1"/>
  <c r="AW64" i="1" s="1"/>
  <c r="AX64" i="1"/>
  <c r="D65" i="1"/>
  <c r="E65" i="1"/>
  <c r="AV65" i="1" s="1"/>
  <c r="AW65" i="1" s="1"/>
  <c r="H65" i="1"/>
  <c r="BB65" i="1" s="1"/>
  <c r="J65" i="1" s="1"/>
  <c r="I65" i="1"/>
  <c r="AU65" i="1"/>
  <c r="AX65" i="1"/>
  <c r="D66" i="1"/>
  <c r="E66" i="1"/>
  <c r="H66" i="1"/>
  <c r="BB66" i="1" s="1"/>
  <c r="J66" i="1" s="1"/>
  <c r="I66" i="1"/>
  <c r="AU66" i="1"/>
  <c r="AV66" i="1"/>
  <c r="AW66" i="1" s="1"/>
  <c r="AX66" i="1"/>
  <c r="D67" i="1"/>
  <c r="E67" i="1"/>
  <c r="H67" i="1"/>
  <c r="BB67" i="1" s="1"/>
  <c r="J67" i="1" s="1"/>
  <c r="I67" i="1"/>
  <c r="AU67" i="1"/>
  <c r="AV67" i="1"/>
  <c r="AW67" i="1" s="1"/>
  <c r="AX67" i="1"/>
  <c r="D68" i="1"/>
  <c r="E68" i="1"/>
  <c r="AV68" i="1" s="1"/>
  <c r="H68" i="1"/>
  <c r="BB68" i="1" s="1"/>
  <c r="J68" i="1" s="1"/>
  <c r="I68" i="1"/>
  <c r="AU68" i="1"/>
  <c r="AW68" i="1" s="1"/>
  <c r="AX68" i="1"/>
  <c r="D69" i="1"/>
  <c r="E69" i="1"/>
  <c r="AV69" i="1" s="1"/>
  <c r="AW69" i="1" s="1"/>
  <c r="H69" i="1"/>
  <c r="BB69" i="1" s="1"/>
  <c r="J69" i="1" s="1"/>
  <c r="I69" i="1"/>
  <c r="AU69" i="1"/>
  <c r="AX69" i="1"/>
  <c r="D70" i="1"/>
  <c r="E70" i="1"/>
  <c r="H70" i="1"/>
  <c r="BB70" i="1" s="1"/>
  <c r="J70" i="1" s="1"/>
  <c r="I70" i="1"/>
  <c r="AU70" i="1"/>
  <c r="AV70" i="1"/>
  <c r="AW70" i="1" s="1"/>
  <c r="AX70" i="1"/>
  <c r="D71" i="1"/>
  <c r="E71" i="1"/>
  <c r="H71" i="1"/>
  <c r="BB71" i="1" s="1"/>
  <c r="J71" i="1" s="1"/>
  <c r="I71" i="1"/>
  <c r="AU71" i="1"/>
  <c r="AV71" i="1"/>
  <c r="AW71" i="1" s="1"/>
  <c r="AX71" i="1"/>
  <c r="C22" i="11" a="1"/>
  <c r="F28" i="11" s="1"/>
  <c r="J28" i="11" l="1"/>
  <c r="H28" i="11"/>
  <c r="I28" i="11"/>
  <c r="G28" i="11"/>
  <c r="E28" i="11"/>
  <c r="D28" i="11"/>
  <c r="J25" i="11"/>
  <c r="J27" i="11"/>
  <c r="G27" i="11"/>
  <c r="D27" i="11"/>
  <c r="E27" i="11"/>
  <c r="H27" i="11"/>
  <c r="F27" i="11"/>
  <c r="I27" i="11"/>
  <c r="I26" i="11"/>
  <c r="H26" i="11"/>
  <c r="G26" i="11"/>
  <c r="J26" i="11"/>
  <c r="F26" i="11"/>
  <c r="E26" i="11"/>
  <c r="D26" i="11"/>
  <c r="I25" i="11"/>
  <c r="H25" i="11"/>
  <c r="G25" i="11"/>
  <c r="F25" i="11"/>
  <c r="E25" i="11"/>
  <c r="D25" i="11"/>
  <c r="C22" i="11"/>
  <c r="J24" i="11"/>
  <c r="I24" i="11"/>
  <c r="H24" i="11"/>
  <c r="F24" i="11"/>
  <c r="E24" i="11"/>
  <c r="D24" i="11"/>
  <c r="G24" i="11"/>
  <c r="BD66" i="1"/>
  <c r="F66" i="1" s="1"/>
  <c r="BA66" i="1"/>
  <c r="G66" i="1" s="1"/>
  <c r="BA68" i="1"/>
  <c r="G68" i="1" s="1"/>
  <c r="BD68" i="1"/>
  <c r="F68" i="1" s="1"/>
  <c r="BD67" i="1"/>
  <c r="F67" i="1" s="1"/>
  <c r="BA67" i="1"/>
  <c r="G67" i="1" s="1"/>
  <c r="BA69" i="1"/>
  <c r="G69" i="1" s="1"/>
  <c r="BD69" i="1"/>
  <c r="F69" i="1" s="1"/>
  <c r="BA64" i="1"/>
  <c r="G64" i="1" s="1"/>
  <c r="BD64" i="1"/>
  <c r="F64" i="1" s="1"/>
  <c r="BD71" i="1"/>
  <c r="F71" i="1" s="1"/>
  <c r="BA71" i="1"/>
  <c r="G71" i="1" s="1"/>
  <c r="BA70" i="1"/>
  <c r="G70" i="1" s="1"/>
  <c r="BD70" i="1"/>
  <c r="F70" i="1" s="1"/>
  <c r="BA65" i="1"/>
  <c r="G65" i="1" s="1"/>
  <c r="BD65" i="1"/>
  <c r="F65" i="1" s="1"/>
  <c r="J11" i="11" l="1"/>
  <c r="J12" i="11"/>
  <c r="D4" i="11"/>
  <c r="C39" i="11" a="1"/>
  <c r="C39" i="11" s="1"/>
  <c r="D10" i="11"/>
  <c r="G31" i="11"/>
  <c r="H52" i="5"/>
  <c r="H51" i="5" s="1"/>
  <c r="H53" i="5"/>
  <c r="D4" i="6"/>
  <c r="D5" i="6" s="1"/>
  <c r="D6" i="6" s="1"/>
  <c r="D7" i="6" s="1"/>
  <c r="D8" i="6" s="1"/>
  <c r="D9" i="6" s="1"/>
  <c r="D10" i="6" s="1"/>
  <c r="D11" i="6" s="1"/>
  <c r="D12" i="6" s="1"/>
  <c r="D13" i="6" s="1"/>
  <c r="D14" i="6" s="1"/>
  <c r="D15" i="6" s="1"/>
  <c r="D16" i="6" s="1"/>
  <c r="D17" i="6" s="1"/>
  <c r="D18" i="6" s="1"/>
  <c r="D19" i="6" s="1"/>
  <c r="D20" i="6" s="1"/>
  <c r="E30" i="5"/>
  <c r="E31" i="5"/>
  <c r="E32" i="5"/>
  <c r="J13" i="11" l="1"/>
  <c r="D32" i="11"/>
  <c r="G32" i="11"/>
  <c r="I32" i="11"/>
  <c r="I30" i="11"/>
  <c r="I23" i="11"/>
  <c r="G29" i="11"/>
  <c r="I31" i="11"/>
  <c r="G30" i="11"/>
  <c r="I29" i="11"/>
  <c r="G23" i="11"/>
  <c r="E29" i="5"/>
  <c r="G22" i="11" l="1"/>
  <c r="G33" i="11" s="1"/>
  <c r="I22" i="11"/>
  <c r="I33" i="11" s="1"/>
  <c r="AG109" i="1"/>
  <c r="AO109" i="1"/>
  <c r="AD109" i="1"/>
  <c r="AF109" i="1"/>
  <c r="AL109" i="1"/>
  <c r="AN109" i="1"/>
  <c r="AT109" i="1"/>
  <c r="AH109" i="1"/>
  <c r="AP109" i="1"/>
  <c r="AE109" i="1"/>
  <c r="AM109" i="1"/>
  <c r="AJ109" i="1"/>
  <c r="AR109" i="1"/>
  <c r="AC109" i="1"/>
  <c r="AS109" i="1"/>
  <c r="AQ109" i="1"/>
  <c r="AK109" i="1"/>
  <c r="AI109" i="1"/>
  <c r="L98" i="1"/>
  <c r="M98" i="1" s="1"/>
  <c r="N98" i="1" s="1"/>
  <c r="O98" i="1" s="1"/>
  <c r="P98" i="1" s="1"/>
  <c r="Q98" i="1" s="1"/>
  <c r="R98" i="1" s="1"/>
  <c r="S98" i="1" s="1"/>
  <c r="T98" i="1" s="1"/>
  <c r="U98" i="1" s="1"/>
  <c r="V98" i="1" s="1"/>
  <c r="W98" i="1" s="1"/>
  <c r="X98" i="1" s="1"/>
  <c r="Y98" i="1" s="1"/>
  <c r="Z98" i="1" s="1"/>
  <c r="AA98" i="1" s="1"/>
  <c r="AB98" i="1" s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L112" i="1"/>
  <c r="M112" i="1" s="1"/>
  <c r="N112" i="1" s="1"/>
  <c r="O112" i="1" s="1"/>
  <c r="P112" i="1" s="1"/>
  <c r="Q112" i="1" s="1"/>
  <c r="R112" i="1" s="1"/>
  <c r="S112" i="1" s="1"/>
  <c r="T112" i="1" s="1"/>
  <c r="U112" i="1" s="1"/>
  <c r="V112" i="1" s="1"/>
  <c r="W112" i="1" s="1"/>
  <c r="X112" i="1" s="1"/>
  <c r="Y112" i="1" s="1"/>
  <c r="Z112" i="1" s="1"/>
  <c r="AA112" i="1" s="1"/>
  <c r="AB112" i="1" s="1"/>
  <c r="J81" i="1" a="1"/>
  <c r="L80" i="1"/>
  <c r="M80" i="1" s="1"/>
  <c r="N80" i="1" s="1"/>
  <c r="O80" i="1" s="1"/>
  <c r="P80" i="1" s="1"/>
  <c r="Q80" i="1" s="1"/>
  <c r="R80" i="1" s="1"/>
  <c r="S80" i="1" s="1"/>
  <c r="T80" i="1" s="1"/>
  <c r="U80" i="1" s="1"/>
  <c r="V80" i="1" s="1"/>
  <c r="W80" i="1" s="1"/>
  <c r="X80" i="1" s="1"/>
  <c r="Y80" i="1" s="1"/>
  <c r="Z80" i="1" s="1"/>
  <c r="AA80" i="1" s="1"/>
  <c r="AB80" i="1" s="1"/>
  <c r="E21" i="7"/>
  <c r="E22" i="7"/>
  <c r="E23" i="7"/>
  <c r="E24" i="7"/>
  <c r="E25" i="7"/>
  <c r="E20" i="7"/>
  <c r="J81" i="1" l="1"/>
  <c r="K82" i="1"/>
  <c r="S82" i="1"/>
  <c r="AA82" i="1"/>
  <c r="AI82" i="1"/>
  <c r="AQ82" i="1"/>
  <c r="O83" i="1"/>
  <c r="W83" i="1"/>
  <c r="W101" i="1" s="1"/>
  <c r="AE83" i="1"/>
  <c r="AM83" i="1"/>
  <c r="K84" i="1"/>
  <c r="S84" i="1"/>
  <c r="AA84" i="1"/>
  <c r="AI84" i="1"/>
  <c r="AQ84" i="1"/>
  <c r="O85" i="1"/>
  <c r="O103" i="1" s="1"/>
  <c r="W85" i="1"/>
  <c r="AE85" i="1"/>
  <c r="AM85" i="1"/>
  <c r="K86" i="1"/>
  <c r="S86" i="1"/>
  <c r="AA86" i="1"/>
  <c r="AI86" i="1"/>
  <c r="AQ86" i="1"/>
  <c r="O87" i="1"/>
  <c r="W87" i="1"/>
  <c r="AE87" i="1"/>
  <c r="AM87" i="1"/>
  <c r="K88" i="1"/>
  <c r="S88" i="1"/>
  <c r="S106" i="1" s="1"/>
  <c r="AA88" i="1"/>
  <c r="AI88" i="1"/>
  <c r="AQ88" i="1"/>
  <c r="O89" i="1"/>
  <c r="W89" i="1"/>
  <c r="AE89" i="1"/>
  <c r="AM89" i="1"/>
  <c r="K90" i="1"/>
  <c r="S90" i="1"/>
  <c r="AA90" i="1"/>
  <c r="AI90" i="1"/>
  <c r="AQ90" i="1"/>
  <c r="O91" i="1"/>
  <c r="W91" i="1"/>
  <c r="AE91" i="1"/>
  <c r="AM91" i="1"/>
  <c r="K92" i="1"/>
  <c r="S92" i="1"/>
  <c r="AA92" i="1"/>
  <c r="AI92" i="1"/>
  <c r="AQ92" i="1"/>
  <c r="O93" i="1"/>
  <c r="W93" i="1"/>
  <c r="AE93" i="1"/>
  <c r="AM93" i="1"/>
  <c r="K94" i="1"/>
  <c r="S94" i="1"/>
  <c r="AA94" i="1"/>
  <c r="AI94" i="1"/>
  <c r="AQ94" i="1"/>
  <c r="U94" i="1"/>
  <c r="AS94" i="1"/>
  <c r="W82" i="1"/>
  <c r="L82" i="1"/>
  <c r="T82" i="1"/>
  <c r="AB82" i="1"/>
  <c r="AJ82" i="1"/>
  <c r="AR82" i="1"/>
  <c r="P83" i="1"/>
  <c r="X83" i="1"/>
  <c r="X101" i="1" s="1"/>
  <c r="AF83" i="1"/>
  <c r="AN83" i="1"/>
  <c r="L84" i="1"/>
  <c r="T84" i="1"/>
  <c r="AB84" i="1"/>
  <c r="AJ84" i="1"/>
  <c r="AR84" i="1"/>
  <c r="P85" i="1"/>
  <c r="X85" i="1"/>
  <c r="AF85" i="1"/>
  <c r="AN85" i="1"/>
  <c r="L86" i="1"/>
  <c r="T86" i="1"/>
  <c r="AB86" i="1"/>
  <c r="AJ86" i="1"/>
  <c r="AR86" i="1"/>
  <c r="P87" i="1"/>
  <c r="X87" i="1"/>
  <c r="X105" i="1" s="1"/>
  <c r="AF87" i="1"/>
  <c r="AN87" i="1"/>
  <c r="L88" i="1"/>
  <c r="T88" i="1"/>
  <c r="AB88" i="1"/>
  <c r="AJ88" i="1"/>
  <c r="AR88" i="1"/>
  <c r="P89" i="1"/>
  <c r="X89" i="1"/>
  <c r="AF89" i="1"/>
  <c r="AN89" i="1"/>
  <c r="L90" i="1"/>
  <c r="T90" i="1"/>
  <c r="AB90" i="1"/>
  <c r="AJ90" i="1"/>
  <c r="AR90" i="1"/>
  <c r="P91" i="1"/>
  <c r="X91" i="1"/>
  <c r="AF91" i="1"/>
  <c r="AN91" i="1"/>
  <c r="L92" i="1"/>
  <c r="T92" i="1"/>
  <c r="AB92" i="1"/>
  <c r="AJ92" i="1"/>
  <c r="AR92" i="1"/>
  <c r="P93" i="1"/>
  <c r="X93" i="1"/>
  <c r="AF93" i="1"/>
  <c r="AN93" i="1"/>
  <c r="L94" i="1"/>
  <c r="T94" i="1"/>
  <c r="AB94" i="1"/>
  <c r="AJ94" i="1"/>
  <c r="AR94" i="1"/>
  <c r="AC94" i="1"/>
  <c r="AT94" i="1"/>
  <c r="AE82" i="1"/>
  <c r="AI83" i="1"/>
  <c r="W84" i="1"/>
  <c r="K85" i="1"/>
  <c r="AQ85" i="1"/>
  <c r="AM86" i="1"/>
  <c r="AA87" i="1"/>
  <c r="O88" i="1"/>
  <c r="AM88" i="1"/>
  <c r="AA89" i="1"/>
  <c r="O90" i="1"/>
  <c r="AM90" i="1"/>
  <c r="AA91" i="1"/>
  <c r="O92" i="1"/>
  <c r="AM92" i="1"/>
  <c r="AA93" i="1"/>
  <c r="O94" i="1"/>
  <c r="Q86" i="1"/>
  <c r="Q104" i="1" s="1"/>
  <c r="AK87" i="1"/>
  <c r="AG88" i="1"/>
  <c r="M82" i="1"/>
  <c r="U82" i="1"/>
  <c r="AC82" i="1"/>
  <c r="AK82" i="1"/>
  <c r="AS82" i="1"/>
  <c r="Q83" i="1"/>
  <c r="Q101" i="1" s="1"/>
  <c r="Y83" i="1"/>
  <c r="AG83" i="1"/>
  <c r="AO83" i="1"/>
  <c r="M84" i="1"/>
  <c r="U84" i="1"/>
  <c r="AC84" i="1"/>
  <c r="AK84" i="1"/>
  <c r="AS84" i="1"/>
  <c r="Q85" i="1"/>
  <c r="Y85" i="1"/>
  <c r="AG85" i="1"/>
  <c r="AO85" i="1"/>
  <c r="M86" i="1"/>
  <c r="U86" i="1"/>
  <c r="AC86" i="1"/>
  <c r="AK86" i="1"/>
  <c r="AS86" i="1"/>
  <c r="Q87" i="1"/>
  <c r="Q105" i="1" s="1"/>
  <c r="Y87" i="1"/>
  <c r="AG87" i="1"/>
  <c r="AO87" i="1"/>
  <c r="M88" i="1"/>
  <c r="U88" i="1"/>
  <c r="AC88" i="1"/>
  <c r="AK88" i="1"/>
  <c r="AS88" i="1"/>
  <c r="Q89" i="1"/>
  <c r="Y89" i="1"/>
  <c r="AG89" i="1"/>
  <c r="AO89" i="1"/>
  <c r="M90" i="1"/>
  <c r="U90" i="1"/>
  <c r="AC90" i="1"/>
  <c r="AK90" i="1"/>
  <c r="AS90" i="1"/>
  <c r="Q91" i="1"/>
  <c r="Y91" i="1"/>
  <c r="AG91" i="1"/>
  <c r="AO91" i="1"/>
  <c r="M92" i="1"/>
  <c r="U92" i="1"/>
  <c r="AC92" i="1"/>
  <c r="AK92" i="1"/>
  <c r="AS92" i="1"/>
  <c r="Q93" i="1"/>
  <c r="Y93" i="1"/>
  <c r="AG93" i="1"/>
  <c r="AO93" i="1"/>
  <c r="M94" i="1"/>
  <c r="AK94" i="1"/>
  <c r="AM82" i="1"/>
  <c r="AA83" i="1"/>
  <c r="O84" i="1"/>
  <c r="AE84" i="1"/>
  <c r="S85" i="1"/>
  <c r="S103" i="1" s="1"/>
  <c r="O86" i="1"/>
  <c r="O104" i="1" s="1"/>
  <c r="AE86" i="1"/>
  <c r="S87" i="1"/>
  <c r="S105" i="1" s="1"/>
  <c r="AQ87" i="1"/>
  <c r="W88" i="1"/>
  <c r="K89" i="1"/>
  <c r="AI89" i="1"/>
  <c r="W90" i="1"/>
  <c r="K91" i="1"/>
  <c r="AI91" i="1"/>
  <c r="W92" i="1"/>
  <c r="K93" i="1"/>
  <c r="AQ93" i="1"/>
  <c r="W94" i="1"/>
  <c r="AM94" i="1"/>
  <c r="AG86" i="1"/>
  <c r="AS87" i="1"/>
  <c r="AO88" i="1"/>
  <c r="AK89" i="1"/>
  <c r="Y90" i="1"/>
  <c r="N82" i="1"/>
  <c r="V82" i="1"/>
  <c r="AD82" i="1"/>
  <c r="AL82" i="1"/>
  <c r="AT82" i="1"/>
  <c r="R83" i="1"/>
  <c r="Z83" i="1"/>
  <c r="AH83" i="1"/>
  <c r="AP83" i="1"/>
  <c r="N84" i="1"/>
  <c r="V84" i="1"/>
  <c r="AD84" i="1"/>
  <c r="AL84" i="1"/>
  <c r="AT84" i="1"/>
  <c r="R85" i="1"/>
  <c r="R103" i="1" s="1"/>
  <c r="Z85" i="1"/>
  <c r="AH85" i="1"/>
  <c r="AP85" i="1"/>
  <c r="N86" i="1"/>
  <c r="V86" i="1"/>
  <c r="V104" i="1" s="1"/>
  <c r="AD86" i="1"/>
  <c r="AL86" i="1"/>
  <c r="AT86" i="1"/>
  <c r="R87" i="1"/>
  <c r="Z87" i="1"/>
  <c r="AH87" i="1"/>
  <c r="AP87" i="1"/>
  <c r="N88" i="1"/>
  <c r="N106" i="1" s="1"/>
  <c r="V88" i="1"/>
  <c r="V106" i="1" s="1"/>
  <c r="AD88" i="1"/>
  <c r="AL88" i="1"/>
  <c r="AT88" i="1"/>
  <c r="R89" i="1"/>
  <c r="Z89" i="1"/>
  <c r="AH89" i="1"/>
  <c r="AP89" i="1"/>
  <c r="N90" i="1"/>
  <c r="V90" i="1"/>
  <c r="AD90" i="1"/>
  <c r="AL90" i="1"/>
  <c r="AT90" i="1"/>
  <c r="R91" i="1"/>
  <c r="Z91" i="1"/>
  <c r="AH91" i="1"/>
  <c r="AP91" i="1"/>
  <c r="N92" i="1"/>
  <c r="V92" i="1"/>
  <c r="AD92" i="1"/>
  <c r="AL92" i="1"/>
  <c r="AT92" i="1"/>
  <c r="R93" i="1"/>
  <c r="Z93" i="1"/>
  <c r="AH93" i="1"/>
  <c r="AP93" i="1"/>
  <c r="N94" i="1"/>
  <c r="V94" i="1"/>
  <c r="AD94" i="1"/>
  <c r="AL94" i="1"/>
  <c r="K83" i="1"/>
  <c r="S83" i="1"/>
  <c r="S101" i="1" s="1"/>
  <c r="AQ83" i="1"/>
  <c r="AM84" i="1"/>
  <c r="AA85" i="1"/>
  <c r="AI85" i="1"/>
  <c r="W86" i="1"/>
  <c r="K87" i="1"/>
  <c r="AI87" i="1"/>
  <c r="AE88" i="1"/>
  <c r="S89" i="1"/>
  <c r="AQ89" i="1"/>
  <c r="AE90" i="1"/>
  <c r="S91" i="1"/>
  <c r="AQ91" i="1"/>
  <c r="AE92" i="1"/>
  <c r="S93" i="1"/>
  <c r="AI93" i="1"/>
  <c r="AE94" i="1"/>
  <c r="Y86" i="1"/>
  <c r="Q88" i="1"/>
  <c r="Q106" i="1" s="1"/>
  <c r="M89" i="1"/>
  <c r="AC89" i="1"/>
  <c r="O82" i="1"/>
  <c r="P82" i="1"/>
  <c r="X82" i="1"/>
  <c r="X100" i="1" s="1"/>
  <c r="AF82" i="1"/>
  <c r="AN82" i="1"/>
  <c r="L83" i="1"/>
  <c r="T83" i="1"/>
  <c r="AB83" i="1"/>
  <c r="AJ83" i="1"/>
  <c r="AR83" i="1"/>
  <c r="P84" i="1"/>
  <c r="X84" i="1"/>
  <c r="X102" i="1" s="1"/>
  <c r="AF84" i="1"/>
  <c r="AN84" i="1"/>
  <c r="L85" i="1"/>
  <c r="T85" i="1"/>
  <c r="AB85" i="1"/>
  <c r="AJ85" i="1"/>
  <c r="AR85" i="1"/>
  <c r="P86" i="1"/>
  <c r="P104" i="1" s="1"/>
  <c r="X86" i="1"/>
  <c r="AF86" i="1"/>
  <c r="AN86" i="1"/>
  <c r="L87" i="1"/>
  <c r="T87" i="1"/>
  <c r="AB87" i="1"/>
  <c r="AJ87" i="1"/>
  <c r="AR87" i="1"/>
  <c r="P88" i="1"/>
  <c r="X88" i="1"/>
  <c r="X106" i="1" s="1"/>
  <c r="AF88" i="1"/>
  <c r="AN88" i="1"/>
  <c r="L89" i="1"/>
  <c r="T89" i="1"/>
  <c r="AB89" i="1"/>
  <c r="AJ89" i="1"/>
  <c r="AR89" i="1"/>
  <c r="P90" i="1"/>
  <c r="X90" i="1"/>
  <c r="AF90" i="1"/>
  <c r="AN90" i="1"/>
  <c r="L91" i="1"/>
  <c r="T91" i="1"/>
  <c r="AB91" i="1"/>
  <c r="AJ91" i="1"/>
  <c r="AR91" i="1"/>
  <c r="P92" i="1"/>
  <c r="X92" i="1"/>
  <c r="AF92" i="1"/>
  <c r="AN92" i="1"/>
  <c r="L93" i="1"/>
  <c r="T93" i="1"/>
  <c r="T107" i="1" s="1"/>
  <c r="AB93" i="1"/>
  <c r="AJ93" i="1"/>
  <c r="AR93" i="1"/>
  <c r="P94" i="1"/>
  <c r="X94" i="1"/>
  <c r="AF94" i="1"/>
  <c r="AN94" i="1"/>
  <c r="Q82" i="1"/>
  <c r="Q100" i="1" s="1"/>
  <c r="Y82" i="1"/>
  <c r="AG82" i="1"/>
  <c r="AO82" i="1"/>
  <c r="M83" i="1"/>
  <c r="M101" i="1" s="1"/>
  <c r="U83" i="1"/>
  <c r="AC83" i="1"/>
  <c r="AK83" i="1"/>
  <c r="AS83" i="1"/>
  <c r="Q84" i="1"/>
  <c r="Y84" i="1"/>
  <c r="AG84" i="1"/>
  <c r="AO84" i="1"/>
  <c r="M85" i="1"/>
  <c r="U85" i="1"/>
  <c r="AC85" i="1"/>
  <c r="AK85" i="1"/>
  <c r="AS85" i="1"/>
  <c r="AO86" i="1"/>
  <c r="M87" i="1"/>
  <c r="U87" i="1"/>
  <c r="AC87" i="1"/>
  <c r="Y88" i="1"/>
  <c r="U89" i="1"/>
  <c r="R82" i="1"/>
  <c r="AT83" i="1"/>
  <c r="AL85" i="1"/>
  <c r="AD87" i="1"/>
  <c r="V89" i="1"/>
  <c r="AG90" i="1"/>
  <c r="AC91" i="1"/>
  <c r="Y92" i="1"/>
  <c r="U93" i="1"/>
  <c r="U107" i="1" s="1"/>
  <c r="Q94" i="1"/>
  <c r="R94" i="1"/>
  <c r="R86" i="1"/>
  <c r="AK91" i="1"/>
  <c r="AC93" i="1"/>
  <c r="AH84" i="1"/>
  <c r="R88" i="1"/>
  <c r="R106" i="1" s="1"/>
  <c r="AL91" i="1"/>
  <c r="Z94" i="1"/>
  <c r="AH86" i="1"/>
  <c r="AS91" i="1"/>
  <c r="AP86" i="1"/>
  <c r="N91" i="1"/>
  <c r="AL93" i="1"/>
  <c r="AP88" i="1"/>
  <c r="Q92" i="1"/>
  <c r="Z90" i="1"/>
  <c r="Z82" i="1"/>
  <c r="R84" i="1"/>
  <c r="AT85" i="1"/>
  <c r="AL87" i="1"/>
  <c r="AD89" i="1"/>
  <c r="AH90" i="1"/>
  <c r="AD91" i="1"/>
  <c r="Z92" i="1"/>
  <c r="V93" i="1"/>
  <c r="V107" i="1" s="1"/>
  <c r="AT87" i="1"/>
  <c r="AO90" i="1"/>
  <c r="AG92" i="1"/>
  <c r="AP82" i="1"/>
  <c r="Z86" i="1"/>
  <c r="Z104" i="1" s="1"/>
  <c r="AP90" i="1"/>
  <c r="AD93" i="1"/>
  <c r="Z88" i="1"/>
  <c r="M91" i="1"/>
  <c r="AG94" i="1"/>
  <c r="AH88" i="1"/>
  <c r="AP92" i="1"/>
  <c r="N87" i="1"/>
  <c r="N105" i="1" s="1"/>
  <c r="U91" i="1"/>
  <c r="AL83" i="1"/>
  <c r="R92" i="1"/>
  <c r="AH82" i="1"/>
  <c r="Z84" i="1"/>
  <c r="AL89" i="1"/>
  <c r="Y94" i="1"/>
  <c r="AS89" i="1"/>
  <c r="AH92" i="1"/>
  <c r="AT89" i="1"/>
  <c r="AK93" i="1"/>
  <c r="V83" i="1"/>
  <c r="AT91" i="1"/>
  <c r="V85" i="1"/>
  <c r="M93" i="1"/>
  <c r="M107" i="1" s="1"/>
  <c r="V87" i="1"/>
  <c r="V91" i="1"/>
  <c r="Q90" i="1"/>
  <c r="AD83" i="1"/>
  <c r="AS93" i="1"/>
  <c r="AD85" i="1"/>
  <c r="AT93" i="1"/>
  <c r="N83" i="1"/>
  <c r="N101" i="1" s="1"/>
  <c r="AP84" i="1"/>
  <c r="AO92" i="1"/>
  <c r="AH94" i="1"/>
  <c r="R90" i="1"/>
  <c r="AO94" i="1"/>
  <c r="N89" i="1"/>
  <c r="N93" i="1"/>
  <c r="N85" i="1"/>
  <c r="N103" i="1" s="1"/>
  <c r="AP94" i="1"/>
  <c r="S107" i="1"/>
  <c r="M102" i="1"/>
  <c r="J101" i="1"/>
  <c r="O81" i="1"/>
  <c r="O99" i="1" s="1"/>
  <c r="Z103" i="1"/>
  <c r="V101" i="1"/>
  <c r="U106" i="1"/>
  <c r="Y104" i="1"/>
  <c r="O101" i="1"/>
  <c r="J122" i="1"/>
  <c r="Y122" i="1" s="1"/>
  <c r="T106" i="1"/>
  <c r="M106" i="1"/>
  <c r="U102" i="1"/>
  <c r="J114" i="1"/>
  <c r="P81" i="1"/>
  <c r="P99" i="1" s="1"/>
  <c r="V105" i="1"/>
  <c r="P100" i="1"/>
  <c r="O105" i="1"/>
  <c r="X104" i="1"/>
  <c r="J121" i="1"/>
  <c r="AB121" i="1" s="1"/>
  <c r="W81" i="1"/>
  <c r="W99" i="1" s="1"/>
  <c r="T102" i="1"/>
  <c r="J102" i="1"/>
  <c r="R107" i="1"/>
  <c r="W105" i="1"/>
  <c r="K81" i="1"/>
  <c r="J113" i="1"/>
  <c r="Q81" i="1"/>
  <c r="Q99" i="1" s="1"/>
  <c r="Y81" i="1"/>
  <c r="M81" i="1"/>
  <c r="V81" i="1"/>
  <c r="V99" i="1" s="1"/>
  <c r="R81" i="1"/>
  <c r="R99" i="1" s="1"/>
  <c r="Z81" i="1"/>
  <c r="N81" i="1"/>
  <c r="N99" i="1" s="1"/>
  <c r="S81" i="1"/>
  <c r="S99" i="1" s="1"/>
  <c r="AA81" i="1"/>
  <c r="L81" i="1"/>
  <c r="T81" i="1"/>
  <c r="T99" i="1" s="1"/>
  <c r="AB81" i="1"/>
  <c r="U81" i="1"/>
  <c r="X81" i="1"/>
  <c r="N104" i="1"/>
  <c r="R102" i="1"/>
  <c r="V100" i="1"/>
  <c r="J119" i="1"/>
  <c r="O107" i="1"/>
  <c r="U104" i="1"/>
  <c r="M104" i="1"/>
  <c r="W103" i="1"/>
  <c r="Q102" i="1"/>
  <c r="U100" i="1"/>
  <c r="M100" i="1"/>
  <c r="J118" i="1"/>
  <c r="AB118" i="1" s="1"/>
  <c r="J106" i="1"/>
  <c r="N100" i="1"/>
  <c r="N107" i="1"/>
  <c r="P106" i="1"/>
  <c r="R105" i="1"/>
  <c r="T104" i="1"/>
  <c r="V103" i="1"/>
  <c r="P102" i="1"/>
  <c r="R101" i="1"/>
  <c r="T100" i="1"/>
  <c r="J117" i="1"/>
  <c r="AB117" i="1" s="1"/>
  <c r="J105" i="1"/>
  <c r="M105" i="1"/>
  <c r="Q103" i="1"/>
  <c r="S102" i="1"/>
  <c r="U101" i="1"/>
  <c r="W100" i="1"/>
  <c r="X103" i="1"/>
  <c r="T101" i="1"/>
  <c r="W106" i="1"/>
  <c r="O106" i="1"/>
  <c r="S104" i="1"/>
  <c r="U103" i="1"/>
  <c r="M103" i="1"/>
  <c r="W102" i="1"/>
  <c r="O102" i="1"/>
  <c r="S100" i="1"/>
  <c r="J116" i="1"/>
  <c r="AB116" i="1" s="1"/>
  <c r="J104" i="1"/>
  <c r="Q107" i="1"/>
  <c r="U105" i="1"/>
  <c r="W104" i="1"/>
  <c r="O100" i="1"/>
  <c r="P107" i="1"/>
  <c r="T105" i="1"/>
  <c r="P103" i="1"/>
  <c r="J107" i="1"/>
  <c r="P105" i="1"/>
  <c r="R104" i="1"/>
  <c r="T103" i="1"/>
  <c r="V102" i="1"/>
  <c r="N102" i="1"/>
  <c r="P101" i="1"/>
  <c r="R100" i="1"/>
  <c r="J115" i="1"/>
  <c r="J103" i="1"/>
  <c r="J120" i="1"/>
  <c r="J108" i="1"/>
  <c r="J100" i="1"/>
  <c r="AU85" i="1" l="1"/>
  <c r="AU94" i="1"/>
  <c r="AU92" i="1"/>
  <c r="AU88" i="1"/>
  <c r="AU83" i="1"/>
  <c r="AU86" i="1"/>
  <c r="AU91" i="1"/>
  <c r="AU87" i="1"/>
  <c r="AU89" i="1"/>
  <c r="AU84" i="1"/>
  <c r="AU82" i="1"/>
  <c r="AU90" i="1"/>
  <c r="AU93" i="1"/>
  <c r="J99" i="1"/>
  <c r="AG81" i="1"/>
  <c r="AG95" i="1" s="1"/>
  <c r="AO81" i="1"/>
  <c r="AO95" i="1" s="1"/>
  <c r="AJ81" i="1"/>
  <c r="AJ95" i="1" s="1"/>
  <c r="AH81" i="1"/>
  <c r="AH95" i="1" s="1"/>
  <c r="AP81" i="1"/>
  <c r="AP95" i="1" s="1"/>
  <c r="AI81" i="1"/>
  <c r="AI95" i="1" s="1"/>
  <c r="AC81" i="1"/>
  <c r="AC95" i="1" s="1"/>
  <c r="AQ81" i="1"/>
  <c r="AQ95" i="1" s="1"/>
  <c r="AS81" i="1"/>
  <c r="AS95" i="1" s="1"/>
  <c r="AR81" i="1"/>
  <c r="AR95" i="1" s="1"/>
  <c r="AK81" i="1"/>
  <c r="AK95" i="1" s="1"/>
  <c r="AD81" i="1"/>
  <c r="AD95" i="1" s="1"/>
  <c r="AL81" i="1"/>
  <c r="AL95" i="1" s="1"/>
  <c r="AT81" i="1"/>
  <c r="AT95" i="1" s="1"/>
  <c r="AE81" i="1"/>
  <c r="AE95" i="1" s="1"/>
  <c r="AF81" i="1"/>
  <c r="AF95" i="1" s="1"/>
  <c r="AM81" i="1"/>
  <c r="AM95" i="1" s="1"/>
  <c r="AN81" i="1"/>
  <c r="AN95" i="1" s="1"/>
  <c r="M99" i="1"/>
  <c r="AA117" i="1"/>
  <c r="AA103" i="1" s="1"/>
  <c r="AA122" i="1"/>
  <c r="AA108" i="1" s="1"/>
  <c r="V122" i="1"/>
  <c r="V123" i="1" s="1"/>
  <c r="K122" i="1"/>
  <c r="K108" i="1" s="1"/>
  <c r="W122" i="1"/>
  <c r="W123" i="1" s="1"/>
  <c r="AB122" i="1"/>
  <c r="AB108" i="1" s="1"/>
  <c r="T122" i="1"/>
  <c r="T123" i="1" s="1"/>
  <c r="P122" i="1"/>
  <c r="P108" i="1" s="1"/>
  <c r="P109" i="1" s="1"/>
  <c r="X122" i="1"/>
  <c r="X108" i="1" s="1"/>
  <c r="AA121" i="1"/>
  <c r="AA107" i="1" s="1"/>
  <c r="AB107" i="1"/>
  <c r="L115" i="1"/>
  <c r="L101" i="1" s="1"/>
  <c r="K115" i="1"/>
  <c r="K101" i="1" s="1"/>
  <c r="K118" i="1"/>
  <c r="K104" i="1" s="1"/>
  <c r="L118" i="1"/>
  <c r="L104" i="1" s="1"/>
  <c r="AA118" i="1"/>
  <c r="AA104" i="1" s="1"/>
  <c r="AA116" i="1"/>
  <c r="AA102" i="1" s="1"/>
  <c r="K116" i="1"/>
  <c r="K102" i="1" s="1"/>
  <c r="L116" i="1"/>
  <c r="L102" i="1" s="1"/>
  <c r="K121" i="1"/>
  <c r="K107" i="1" s="1"/>
  <c r="L121" i="1"/>
  <c r="L107" i="1" s="1"/>
  <c r="Y100" i="1"/>
  <c r="L114" i="1"/>
  <c r="K114" i="1"/>
  <c r="K100" i="1" s="1"/>
  <c r="K119" i="1"/>
  <c r="K105" i="1" s="1"/>
  <c r="L119" i="1"/>
  <c r="L105" i="1" s="1"/>
  <c r="AA114" i="1"/>
  <c r="AA100" i="1" s="1"/>
  <c r="M122" i="1"/>
  <c r="M123" i="1" s="1"/>
  <c r="AA120" i="1"/>
  <c r="AA106" i="1" s="1"/>
  <c r="K120" i="1"/>
  <c r="K106" i="1" s="1"/>
  <c r="L120" i="1"/>
  <c r="L106" i="1" s="1"/>
  <c r="R122" i="1"/>
  <c r="R108" i="1" s="1"/>
  <c r="R109" i="1" s="1"/>
  <c r="N122" i="1"/>
  <c r="N108" i="1" s="1"/>
  <c r="K113" i="1"/>
  <c r="K99" i="1" s="1"/>
  <c r="L113" i="1"/>
  <c r="AB102" i="1"/>
  <c r="K117" i="1"/>
  <c r="K103" i="1" s="1"/>
  <c r="L117" i="1"/>
  <c r="L103" i="1" s="1"/>
  <c r="Y108" i="1"/>
  <c r="Z107" i="1"/>
  <c r="L122" i="1"/>
  <c r="L108" i="1" s="1"/>
  <c r="S122" i="1"/>
  <c r="Z122" i="1"/>
  <c r="Z108" i="1" s="1"/>
  <c r="AB120" i="1"/>
  <c r="AB106" i="1" s="1"/>
  <c r="O122" i="1"/>
  <c r="O123" i="1" s="1"/>
  <c r="U122" i="1"/>
  <c r="U108" i="1" s="1"/>
  <c r="Y105" i="1"/>
  <c r="U95" i="1"/>
  <c r="U99" i="1"/>
  <c r="Z101" i="1"/>
  <c r="AA115" i="1"/>
  <c r="AA101" i="1" s="1"/>
  <c r="Q122" i="1"/>
  <c r="Q108" i="1" s="1"/>
  <c r="Q109" i="1" s="1"/>
  <c r="AB119" i="1"/>
  <c r="AB105" i="1" s="1"/>
  <c r="AB115" i="1"/>
  <c r="AB101" i="1" s="1"/>
  <c r="AB114" i="1"/>
  <c r="AB100" i="1" s="1"/>
  <c r="R95" i="1"/>
  <c r="Y103" i="1"/>
  <c r="AB95" i="1"/>
  <c r="V95" i="1"/>
  <c r="Z106" i="1"/>
  <c r="AB104" i="1"/>
  <c r="Y102" i="1"/>
  <c r="T95" i="1"/>
  <c r="M95" i="1"/>
  <c r="O95" i="1"/>
  <c r="Y106" i="1"/>
  <c r="L95" i="1"/>
  <c r="Y95" i="1"/>
  <c r="AB103" i="1"/>
  <c r="Z105" i="1"/>
  <c r="AA95" i="1"/>
  <c r="Q95" i="1"/>
  <c r="P95" i="1"/>
  <c r="Z100" i="1"/>
  <c r="W107" i="1"/>
  <c r="X107" i="1"/>
  <c r="S95" i="1"/>
  <c r="Y107" i="1"/>
  <c r="Y101" i="1"/>
  <c r="Z102" i="1"/>
  <c r="N95" i="1"/>
  <c r="K95" i="1"/>
  <c r="AA119" i="1"/>
  <c r="X99" i="1"/>
  <c r="X95" i="1"/>
  <c r="Z95" i="1"/>
  <c r="W95" i="1"/>
  <c r="AA113" i="1"/>
  <c r="AA99" i="1" s="1"/>
  <c r="Y123" i="1"/>
  <c r="AB113" i="1"/>
  <c r="AU81" i="1" l="1"/>
  <c r="AU95" i="1" s="1"/>
  <c r="V108" i="1"/>
  <c r="V109" i="1" s="1"/>
  <c r="W108" i="1"/>
  <c r="W109" i="1" s="1"/>
  <c r="T108" i="1"/>
  <c r="T109" i="1" s="1"/>
  <c r="M108" i="1"/>
  <c r="M109" i="1" s="1"/>
  <c r="AU121" i="1"/>
  <c r="P123" i="1"/>
  <c r="X123" i="1"/>
  <c r="AU114" i="1"/>
  <c r="AU120" i="1"/>
  <c r="L100" i="1"/>
  <c r="AU100" i="1" s="1"/>
  <c r="AU118" i="1"/>
  <c r="AU117" i="1"/>
  <c r="L123" i="1"/>
  <c r="R123" i="1"/>
  <c r="N123" i="1"/>
  <c r="AU116" i="1"/>
  <c r="AU103" i="1"/>
  <c r="AU115" i="1"/>
  <c r="AU104" i="1"/>
  <c r="X109" i="1"/>
  <c r="AU102" i="1"/>
  <c r="AU106" i="1"/>
  <c r="AU101" i="1"/>
  <c r="Q123" i="1"/>
  <c r="O108" i="1"/>
  <c r="O109" i="1" s="1"/>
  <c r="AU122" i="1"/>
  <c r="S123" i="1"/>
  <c r="AB123" i="1"/>
  <c r="Z123" i="1"/>
  <c r="L99" i="1"/>
  <c r="S108" i="1"/>
  <c r="S109" i="1" s="1"/>
  <c r="AU119" i="1"/>
  <c r="N109" i="1"/>
  <c r="AU107" i="1"/>
  <c r="AB99" i="1"/>
  <c r="AB109" i="1" s="1"/>
  <c r="AA123" i="1"/>
  <c r="Z99" i="1"/>
  <c r="Z109" i="1" s="1"/>
  <c r="AA105" i="1"/>
  <c r="AA109" i="1" s="1"/>
  <c r="Y99" i="1"/>
  <c r="Y109" i="1" s="1"/>
  <c r="U123" i="1"/>
  <c r="U109" i="1"/>
  <c r="K109" i="1"/>
  <c r="K123" i="1"/>
  <c r="AU113" i="1"/>
  <c r="L109" i="1" l="1"/>
  <c r="AU109" i="1" s="1"/>
  <c r="AU108" i="1"/>
  <c r="AU105" i="1"/>
  <c r="AU99" i="1"/>
  <c r="AU123" i="1"/>
  <c r="AX53" i="1" l="1"/>
  <c r="AX54" i="1"/>
  <c r="AX55" i="1"/>
  <c r="AX56" i="1"/>
  <c r="AX57" i="1"/>
  <c r="AX58" i="1"/>
  <c r="AX59" i="1"/>
  <c r="AX60" i="1"/>
  <c r="AX61" i="1"/>
  <c r="AX62" i="1"/>
  <c r="AX63" i="1"/>
  <c r="AX72" i="1"/>
  <c r="AX73" i="1"/>
  <c r="AX74" i="1"/>
  <c r="AX75" i="1"/>
  <c r="AU47" i="1"/>
  <c r="I47" i="1"/>
  <c r="H47" i="1"/>
  <c r="BB47" i="1" s="1"/>
  <c r="J47" i="1" s="1"/>
  <c r="E47" i="1"/>
  <c r="AV47" i="1" s="1"/>
  <c r="D47" i="1"/>
  <c r="AW47" i="1" l="1"/>
  <c r="AX76" i="1"/>
  <c r="BA47" i="1" l="1"/>
  <c r="G47" i="1" s="1"/>
  <c r="BD47" i="1"/>
  <c r="F47" i="1" s="1"/>
  <c r="C28" i="5"/>
  <c r="A10" i="5" a="1"/>
  <c r="L10" i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J10" i="1" s="1"/>
  <c r="AK10" i="1" s="1"/>
  <c r="AL10" i="1" s="1"/>
  <c r="AM10" i="1" s="1"/>
  <c r="AN10" i="1" s="1"/>
  <c r="AO10" i="1" s="1"/>
  <c r="AP10" i="1" s="1"/>
  <c r="AQ10" i="1" s="1"/>
  <c r="AR10" i="1" s="1"/>
  <c r="AS10" i="1" s="1"/>
  <c r="AT10" i="1" s="1"/>
  <c r="G20" i="5" l="1"/>
  <c r="B20" i="5"/>
  <c r="E20" i="5"/>
  <c r="E28" i="5"/>
  <c r="A10" i="5"/>
  <c r="E10" i="5" s="1"/>
  <c r="G14" i="5"/>
  <c r="G15" i="5"/>
  <c r="G19" i="5"/>
  <c r="G12" i="5"/>
  <c r="G13" i="5"/>
  <c r="G16" i="5"/>
  <c r="G18" i="5"/>
  <c r="G11" i="5"/>
  <c r="G17" i="5"/>
  <c r="E13" i="5"/>
  <c r="E12" i="5"/>
  <c r="E11" i="5"/>
  <c r="E14" i="5"/>
  <c r="E18" i="5"/>
  <c r="E15" i="5"/>
  <c r="E17" i="5"/>
  <c r="E16" i="5"/>
  <c r="E19" i="5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72" i="1"/>
  <c r="I73" i="1"/>
  <c r="I74" i="1"/>
  <c r="I75" i="1"/>
  <c r="I13" i="1"/>
  <c r="AA11" i="1"/>
  <c r="H14" i="1"/>
  <c r="H15" i="1"/>
  <c r="BB15" i="1" s="1"/>
  <c r="J15" i="1" s="1"/>
  <c r="H16" i="1"/>
  <c r="BB16" i="1" s="1"/>
  <c r="J16" i="1" s="1"/>
  <c r="H17" i="1"/>
  <c r="H18" i="1"/>
  <c r="H19" i="1"/>
  <c r="BB19" i="1" s="1"/>
  <c r="J19" i="1" s="1"/>
  <c r="H20" i="1"/>
  <c r="BB20" i="1" s="1"/>
  <c r="J20" i="1" s="1"/>
  <c r="H21" i="1"/>
  <c r="BB21" i="1" s="1"/>
  <c r="J21" i="1" s="1"/>
  <c r="H22" i="1"/>
  <c r="BB22" i="1" s="1"/>
  <c r="J22" i="1" s="1"/>
  <c r="H23" i="1"/>
  <c r="BB23" i="1" s="1"/>
  <c r="J23" i="1" s="1"/>
  <c r="H24" i="1"/>
  <c r="BB24" i="1" s="1"/>
  <c r="J24" i="1" s="1"/>
  <c r="H25" i="1"/>
  <c r="BB25" i="1" s="1"/>
  <c r="J25" i="1" s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72" i="1"/>
  <c r="H73" i="1"/>
  <c r="H74" i="1"/>
  <c r="H75" i="1"/>
  <c r="H13" i="1"/>
  <c r="BB13" i="1" s="1"/>
  <c r="AO76" i="1"/>
  <c r="AC76" i="1"/>
  <c r="K76" i="1"/>
  <c r="Q76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BC11" i="1"/>
  <c r="AY11" i="1"/>
  <c r="AZ11" i="1"/>
  <c r="K11" i="1"/>
  <c r="E46" i="1"/>
  <c r="AV46" i="1" s="1"/>
  <c r="D46" i="1"/>
  <c r="AU46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8" i="1"/>
  <c r="AU49" i="1"/>
  <c r="AU50" i="1"/>
  <c r="AU51" i="1"/>
  <c r="AU52" i="1"/>
  <c r="D30" i="11" s="1"/>
  <c r="AU53" i="1"/>
  <c r="AU54" i="1"/>
  <c r="AU55" i="1"/>
  <c r="AU56" i="1"/>
  <c r="AU57" i="1"/>
  <c r="AU58" i="1"/>
  <c r="AU60" i="1"/>
  <c r="D29" i="11" s="1"/>
  <c r="AU61" i="1"/>
  <c r="AU62" i="1"/>
  <c r="AU63" i="1"/>
  <c r="AU72" i="1"/>
  <c r="AU73" i="1"/>
  <c r="AU74" i="1"/>
  <c r="AU75" i="1"/>
  <c r="AU13" i="1"/>
  <c r="BE76" i="1"/>
  <c r="AZ76" i="1"/>
  <c r="AY76" i="1"/>
  <c r="BC76" i="1"/>
  <c r="E14" i="1"/>
  <c r="AV14" i="1" s="1"/>
  <c r="E15" i="1"/>
  <c r="AV15" i="1" s="1"/>
  <c r="E16" i="1"/>
  <c r="AV16" i="1" s="1"/>
  <c r="E17" i="1"/>
  <c r="AV17" i="1" s="1"/>
  <c r="E18" i="1"/>
  <c r="AV18" i="1" s="1"/>
  <c r="E19" i="1"/>
  <c r="AV19" i="1" s="1"/>
  <c r="E20" i="1"/>
  <c r="AV20" i="1" s="1"/>
  <c r="E21" i="1"/>
  <c r="AV21" i="1" s="1"/>
  <c r="E22" i="1"/>
  <c r="AV22" i="1" s="1"/>
  <c r="E23" i="1"/>
  <c r="AV23" i="1" s="1"/>
  <c r="E24" i="1"/>
  <c r="AV24" i="1" s="1"/>
  <c r="E25" i="1"/>
  <c r="AV25" i="1" s="1"/>
  <c r="E26" i="1"/>
  <c r="AV26" i="1" s="1"/>
  <c r="E27" i="1"/>
  <c r="AV27" i="1" s="1"/>
  <c r="E28" i="1"/>
  <c r="AV28" i="1" s="1"/>
  <c r="E29" i="1"/>
  <c r="AV29" i="1" s="1"/>
  <c r="E30" i="1"/>
  <c r="AV30" i="1" s="1"/>
  <c r="E31" i="1"/>
  <c r="AV31" i="1" s="1"/>
  <c r="E32" i="1"/>
  <c r="AV32" i="1" s="1"/>
  <c r="E33" i="1"/>
  <c r="AV33" i="1" s="1"/>
  <c r="E34" i="1"/>
  <c r="AV34" i="1" s="1"/>
  <c r="E35" i="1"/>
  <c r="AV35" i="1" s="1"/>
  <c r="E36" i="1"/>
  <c r="AV36" i="1" s="1"/>
  <c r="E37" i="1"/>
  <c r="AV37" i="1" s="1"/>
  <c r="E38" i="1"/>
  <c r="AV38" i="1" s="1"/>
  <c r="E39" i="1"/>
  <c r="AV39" i="1" s="1"/>
  <c r="E40" i="1"/>
  <c r="AV40" i="1" s="1"/>
  <c r="E41" i="1"/>
  <c r="AV41" i="1" s="1"/>
  <c r="E42" i="1"/>
  <c r="AV42" i="1" s="1"/>
  <c r="E43" i="1"/>
  <c r="AV43" i="1" s="1"/>
  <c r="E44" i="1"/>
  <c r="AV44" i="1" s="1"/>
  <c r="E45" i="1"/>
  <c r="AV45" i="1" s="1"/>
  <c r="E48" i="1"/>
  <c r="AV48" i="1" s="1"/>
  <c r="E49" i="1"/>
  <c r="AV49" i="1" s="1"/>
  <c r="E50" i="1"/>
  <c r="AV50" i="1" s="1"/>
  <c r="E51" i="1"/>
  <c r="AV51" i="1" s="1"/>
  <c r="E52" i="1"/>
  <c r="AV52" i="1" s="1"/>
  <c r="E53" i="1"/>
  <c r="AV53" i="1" s="1"/>
  <c r="E54" i="1"/>
  <c r="AV54" i="1" s="1"/>
  <c r="E55" i="1"/>
  <c r="AV55" i="1" s="1"/>
  <c r="E56" i="1"/>
  <c r="AV56" i="1" s="1"/>
  <c r="E57" i="1"/>
  <c r="AV57" i="1" s="1"/>
  <c r="E58" i="1"/>
  <c r="AV58" i="1" s="1"/>
  <c r="E59" i="1"/>
  <c r="AV59" i="1" s="1"/>
  <c r="E60" i="1"/>
  <c r="AV60" i="1" s="1"/>
  <c r="E61" i="1"/>
  <c r="AV61" i="1" s="1"/>
  <c r="E62" i="1"/>
  <c r="AV62" i="1" s="1"/>
  <c r="E63" i="1"/>
  <c r="AV63" i="1" s="1"/>
  <c r="E72" i="1"/>
  <c r="AV72" i="1" s="1"/>
  <c r="E73" i="1"/>
  <c r="AV73" i="1" s="1"/>
  <c r="E74" i="1"/>
  <c r="AV74" i="1" s="1"/>
  <c r="E75" i="1"/>
  <c r="AV75" i="1" s="1"/>
  <c r="D62" i="1"/>
  <c r="D39" i="1"/>
  <c r="D72" i="1"/>
  <c r="D73" i="1"/>
  <c r="D74" i="1"/>
  <c r="D75" i="1"/>
  <c r="G10" i="5" l="1"/>
  <c r="G21" i="5" s="1"/>
  <c r="E30" i="11"/>
  <c r="E29" i="11"/>
  <c r="D23" i="11"/>
  <c r="E23" i="11"/>
  <c r="D31" i="11"/>
  <c r="E22" i="11"/>
  <c r="D11" i="11"/>
  <c r="G11" i="11" s="1"/>
  <c r="C29" i="5"/>
  <c r="C30" i="5" s="1"/>
  <c r="C32" i="5" s="1"/>
  <c r="E12" i="11"/>
  <c r="D29" i="5"/>
  <c r="D30" i="5" s="1"/>
  <c r="D32" i="5" s="1"/>
  <c r="B18" i="5"/>
  <c r="D22" i="11"/>
  <c r="C13" i="5"/>
  <c r="J13" i="1"/>
  <c r="BB14" i="1"/>
  <c r="J14" i="1" s="1"/>
  <c r="H76" i="1"/>
  <c r="C18" i="5"/>
  <c r="I76" i="1"/>
  <c r="C15" i="5"/>
  <c r="B14" i="5"/>
  <c r="C17" i="5"/>
  <c r="C14" i="5"/>
  <c r="C16" i="5"/>
  <c r="C12" i="5"/>
  <c r="BB49" i="1"/>
  <c r="J49" i="1" s="1"/>
  <c r="BB48" i="1"/>
  <c r="J48" i="1" s="1"/>
  <c r="BB63" i="1"/>
  <c r="J63" i="1" s="1"/>
  <c r="BB31" i="1"/>
  <c r="J31" i="1" s="1"/>
  <c r="B17" i="5"/>
  <c r="BB33" i="1"/>
  <c r="J33" i="1" s="1"/>
  <c r="BB39" i="1"/>
  <c r="J39" i="1" s="1"/>
  <c r="BB37" i="1"/>
  <c r="J37" i="1" s="1"/>
  <c r="C11" i="5"/>
  <c r="BB72" i="1"/>
  <c r="J72" i="1" s="1"/>
  <c r="BB61" i="1"/>
  <c r="J61" i="1" s="1"/>
  <c r="BB53" i="1"/>
  <c r="J53" i="1" s="1"/>
  <c r="BB44" i="1"/>
  <c r="J44" i="1" s="1"/>
  <c r="BB36" i="1"/>
  <c r="J36" i="1" s="1"/>
  <c r="BB29" i="1"/>
  <c r="J29" i="1" s="1"/>
  <c r="BB52" i="1"/>
  <c r="J52" i="1" s="1"/>
  <c r="BB43" i="1"/>
  <c r="J43" i="1" s="1"/>
  <c r="BB35" i="1"/>
  <c r="J35" i="1" s="1"/>
  <c r="BB28" i="1"/>
  <c r="J28" i="1" s="1"/>
  <c r="BB57" i="1"/>
  <c r="J57" i="1" s="1"/>
  <c r="BB40" i="1"/>
  <c r="J40" i="1" s="1"/>
  <c r="BB56" i="1"/>
  <c r="J56" i="1" s="1"/>
  <c r="BB38" i="1"/>
  <c r="J38" i="1" s="1"/>
  <c r="I11" i="1"/>
  <c r="BB73" i="1"/>
  <c r="J73" i="1" s="1"/>
  <c r="BB62" i="1"/>
  <c r="J62" i="1" s="1"/>
  <c r="BB45" i="1"/>
  <c r="J45" i="1" s="1"/>
  <c r="BB30" i="1"/>
  <c r="J30" i="1" s="1"/>
  <c r="B12" i="5"/>
  <c r="B19" i="5"/>
  <c r="BB60" i="1"/>
  <c r="J60" i="1" s="1"/>
  <c r="B15" i="5"/>
  <c r="BB59" i="1"/>
  <c r="J59" i="1" s="1"/>
  <c r="BB51" i="1"/>
  <c r="J51" i="1" s="1"/>
  <c r="BB42" i="1"/>
  <c r="J42" i="1" s="1"/>
  <c r="BB34" i="1"/>
  <c r="J34" i="1" s="1"/>
  <c r="BB27" i="1"/>
  <c r="J27" i="1" s="1"/>
  <c r="BB32" i="1"/>
  <c r="J32" i="1" s="1"/>
  <c r="BB55" i="1"/>
  <c r="J55" i="1" s="1"/>
  <c r="BB54" i="1"/>
  <c r="J54" i="1" s="1"/>
  <c r="B16" i="5"/>
  <c r="B10" i="5"/>
  <c r="BB58" i="1"/>
  <c r="J58" i="1" s="1"/>
  <c r="BB50" i="1"/>
  <c r="J50" i="1" s="1"/>
  <c r="BB41" i="1"/>
  <c r="J41" i="1" s="1"/>
  <c r="BB26" i="1"/>
  <c r="J26" i="1" s="1"/>
  <c r="E21" i="5"/>
  <c r="BB18" i="1"/>
  <c r="J18" i="1" s="1"/>
  <c r="BB17" i="1"/>
  <c r="J17" i="1" s="1"/>
  <c r="BB75" i="1"/>
  <c r="J75" i="1" s="1"/>
  <c r="BB74" i="1"/>
  <c r="J74" i="1" s="1"/>
  <c r="BB46" i="1"/>
  <c r="J46" i="1" s="1"/>
  <c r="AU59" i="1"/>
  <c r="H11" i="1"/>
  <c r="AW46" i="1"/>
  <c r="AW48" i="1"/>
  <c r="BA48" i="1" s="1"/>
  <c r="AW23" i="1"/>
  <c r="BA23" i="1" s="1"/>
  <c r="AW15" i="1"/>
  <c r="BA15" i="1" s="1"/>
  <c r="AW31" i="1"/>
  <c r="BA31" i="1" s="1"/>
  <c r="AW56" i="1"/>
  <c r="BA56" i="1" s="1"/>
  <c r="AW38" i="1"/>
  <c r="BA38" i="1" s="1"/>
  <c r="AW72" i="1"/>
  <c r="BA72" i="1" s="1"/>
  <c r="AW60" i="1"/>
  <c r="AW52" i="1"/>
  <c r="AW42" i="1"/>
  <c r="AW34" i="1"/>
  <c r="BA34" i="1" s="1"/>
  <c r="AW27" i="1"/>
  <c r="BA27" i="1" s="1"/>
  <c r="AW19" i="1"/>
  <c r="BA19" i="1" s="1"/>
  <c r="AW57" i="1"/>
  <c r="BA57" i="1" s="1"/>
  <c r="AW49" i="1"/>
  <c r="BA49" i="1" s="1"/>
  <c r="AW39" i="1"/>
  <c r="BA39" i="1" s="1"/>
  <c r="AW32" i="1"/>
  <c r="BA32" i="1" s="1"/>
  <c r="AW24" i="1"/>
  <c r="BA24" i="1" s="1"/>
  <c r="AW16" i="1"/>
  <c r="BA16" i="1" s="1"/>
  <c r="AW73" i="1"/>
  <c r="BA73" i="1" s="1"/>
  <c r="AW61" i="1"/>
  <c r="BA61" i="1" s="1"/>
  <c r="AW53" i="1"/>
  <c r="AW43" i="1"/>
  <c r="BA43" i="1" s="1"/>
  <c r="AW35" i="1"/>
  <c r="BA35" i="1" s="1"/>
  <c r="AW28" i="1"/>
  <c r="BA28" i="1" s="1"/>
  <c r="AW20" i="1"/>
  <c r="AW51" i="1"/>
  <c r="AW41" i="1"/>
  <c r="AW26" i="1"/>
  <c r="AW18" i="1"/>
  <c r="AW58" i="1"/>
  <c r="AW50" i="1"/>
  <c r="AW40" i="1"/>
  <c r="AW33" i="1"/>
  <c r="AW25" i="1"/>
  <c r="AW17" i="1"/>
  <c r="AW75" i="1"/>
  <c r="AW63" i="1"/>
  <c r="BA63" i="1" s="1"/>
  <c r="AW55" i="1"/>
  <c r="AW45" i="1"/>
  <c r="AW37" i="1"/>
  <c r="AW30" i="1"/>
  <c r="AW22" i="1"/>
  <c r="AW14" i="1"/>
  <c r="AW74" i="1"/>
  <c r="AW62" i="1"/>
  <c r="AW54" i="1"/>
  <c r="AW44" i="1"/>
  <c r="AW36" i="1"/>
  <c r="AW29" i="1"/>
  <c r="AW21" i="1"/>
  <c r="E14" i="11" l="1"/>
  <c r="BA42" i="1"/>
  <c r="F29" i="11"/>
  <c r="BA46" i="1"/>
  <c r="G46" i="1" s="1"/>
  <c r="F23" i="11"/>
  <c r="D12" i="11"/>
  <c r="D14" i="11" s="1"/>
  <c r="G14" i="11" s="1"/>
  <c r="B13" i="5"/>
  <c r="D33" i="11"/>
  <c r="BA52" i="1"/>
  <c r="F30" i="11"/>
  <c r="BA20" i="1"/>
  <c r="G20" i="1" s="1"/>
  <c r="F22" i="11"/>
  <c r="BA22" i="1"/>
  <c r="G22" i="1" s="1"/>
  <c r="BB11" i="1"/>
  <c r="BB76" i="1"/>
  <c r="BD44" i="1"/>
  <c r="F44" i="1" s="1"/>
  <c r="BA44" i="1"/>
  <c r="G44" i="1" s="1"/>
  <c r="BD50" i="1"/>
  <c r="F50" i="1" s="1"/>
  <c r="BA50" i="1"/>
  <c r="G50" i="1" s="1"/>
  <c r="BD54" i="1"/>
  <c r="F54" i="1" s="1"/>
  <c r="BA54" i="1"/>
  <c r="G54" i="1" s="1"/>
  <c r="BD14" i="1"/>
  <c r="F14" i="1" s="1"/>
  <c r="BA14" i="1"/>
  <c r="G14" i="1" s="1"/>
  <c r="BA60" i="1"/>
  <c r="BD21" i="1"/>
  <c r="F21" i="1" s="1"/>
  <c r="BA21" i="1"/>
  <c r="G21" i="1" s="1"/>
  <c r="BD30" i="1"/>
  <c r="BA30" i="1"/>
  <c r="BD41" i="1"/>
  <c r="F41" i="1" s="1"/>
  <c r="BA41" i="1"/>
  <c r="G41" i="1" s="1"/>
  <c r="BD37" i="1"/>
  <c r="F37" i="1" s="1"/>
  <c r="BA37" i="1"/>
  <c r="G37" i="1" s="1"/>
  <c r="BD51" i="1"/>
  <c r="BA51" i="1"/>
  <c r="BD45" i="1"/>
  <c r="F45" i="1" s="1"/>
  <c r="BA45" i="1"/>
  <c r="G45" i="1" s="1"/>
  <c r="BD55" i="1"/>
  <c r="F55" i="1" s="1"/>
  <c r="BA55" i="1"/>
  <c r="G55" i="1" s="1"/>
  <c r="BD62" i="1"/>
  <c r="BA62" i="1"/>
  <c r="BD17" i="1"/>
  <c r="F17" i="1" s="1"/>
  <c r="BA17" i="1"/>
  <c r="G17" i="1" s="1"/>
  <c r="BD25" i="1"/>
  <c r="F25" i="1" s="1"/>
  <c r="BA25" i="1"/>
  <c r="G25" i="1" s="1"/>
  <c r="BD33" i="1"/>
  <c r="F33" i="1" s="1"/>
  <c r="BA33" i="1"/>
  <c r="G33" i="1" s="1"/>
  <c r="BD36" i="1"/>
  <c r="F36" i="1" s="1"/>
  <c r="BA36" i="1"/>
  <c r="G36" i="1" s="1"/>
  <c r="BD40" i="1"/>
  <c r="F40" i="1" s="1"/>
  <c r="BA40" i="1"/>
  <c r="G40" i="1" s="1"/>
  <c r="BD58" i="1"/>
  <c r="BA58" i="1"/>
  <c r="BD74" i="1"/>
  <c r="F74" i="1" s="1"/>
  <c r="BA74" i="1"/>
  <c r="G74" i="1" s="1"/>
  <c r="BD75" i="1"/>
  <c r="F75" i="1" s="1"/>
  <c r="BA75" i="1"/>
  <c r="G75" i="1" s="1"/>
  <c r="BD18" i="1"/>
  <c r="F18" i="1" s="1"/>
  <c r="BA18" i="1"/>
  <c r="G18" i="1" s="1"/>
  <c r="BD26" i="1"/>
  <c r="F26" i="1" s="1"/>
  <c r="BA26" i="1"/>
  <c r="G26" i="1" s="1"/>
  <c r="D18" i="5"/>
  <c r="BA53" i="1"/>
  <c r="G53" i="1" s="1"/>
  <c r="BD29" i="1"/>
  <c r="F29" i="1" s="1"/>
  <c r="BA29" i="1"/>
  <c r="G29" i="1" s="1"/>
  <c r="D14" i="5"/>
  <c r="D17" i="5"/>
  <c r="J11" i="1"/>
  <c r="AU11" i="1"/>
  <c r="B11" i="5"/>
  <c r="BD22" i="1"/>
  <c r="D12" i="5"/>
  <c r="BD63" i="1"/>
  <c r="F63" i="1" s="1"/>
  <c r="D15" i="5"/>
  <c r="D16" i="5"/>
  <c r="AU76" i="1"/>
  <c r="AW59" i="1"/>
  <c r="G56" i="1"/>
  <c r="BD56" i="1"/>
  <c r="G73" i="1"/>
  <c r="BD73" i="1"/>
  <c r="BD52" i="1"/>
  <c r="G49" i="1"/>
  <c r="BD49" i="1"/>
  <c r="BD60" i="1"/>
  <c r="G48" i="1"/>
  <c r="BD48" i="1"/>
  <c r="BD53" i="1"/>
  <c r="G57" i="1"/>
  <c r="BD57" i="1"/>
  <c r="G72" i="1"/>
  <c r="BD72" i="1"/>
  <c r="BD46" i="1"/>
  <c r="G61" i="1"/>
  <c r="BD61" i="1"/>
  <c r="G38" i="1"/>
  <c r="BD38" i="1"/>
  <c r="BD34" i="1"/>
  <c r="BD31" i="1"/>
  <c r="G28" i="1"/>
  <c r="BD28" i="1"/>
  <c r="G32" i="1"/>
  <c r="BD32" i="1"/>
  <c r="G35" i="1"/>
  <c r="BD35" i="1"/>
  <c r="G43" i="1"/>
  <c r="BD43" i="1"/>
  <c r="BD42" i="1"/>
  <c r="G39" i="1"/>
  <c r="BD39" i="1"/>
  <c r="BD24" i="1"/>
  <c r="G23" i="1"/>
  <c r="BD23" i="1"/>
  <c r="BD27" i="1"/>
  <c r="G16" i="1"/>
  <c r="BD16" i="1"/>
  <c r="G15" i="1"/>
  <c r="BD15" i="1"/>
  <c r="BD19" i="1"/>
  <c r="BD20" i="1"/>
  <c r="G24" i="1"/>
  <c r="G31" i="1"/>
  <c r="G42" i="1"/>
  <c r="G27" i="1"/>
  <c r="G34" i="1"/>
  <c r="G19" i="1"/>
  <c r="G63" i="1"/>
  <c r="B21" i="5" l="1"/>
  <c r="G58" i="1"/>
  <c r="E40" i="11"/>
  <c r="J23" i="11"/>
  <c r="H11" i="5"/>
  <c r="F58" i="1"/>
  <c r="H23" i="11"/>
  <c r="D40" i="11"/>
  <c r="G60" i="1"/>
  <c r="E46" i="11"/>
  <c r="J29" i="11"/>
  <c r="H17" i="5"/>
  <c r="J30" i="11"/>
  <c r="E47" i="11"/>
  <c r="H18" i="5"/>
  <c r="D46" i="11"/>
  <c r="H29" i="11"/>
  <c r="D41" i="11"/>
  <c r="G30" i="1"/>
  <c r="E45" i="11"/>
  <c r="H16" i="5"/>
  <c r="E41" i="11"/>
  <c r="H12" i="5"/>
  <c r="F30" i="1"/>
  <c r="D45" i="11"/>
  <c r="G62" i="1"/>
  <c r="E44" i="11"/>
  <c r="H15" i="5"/>
  <c r="G51" i="1"/>
  <c r="E43" i="11"/>
  <c r="H14" i="5"/>
  <c r="E39" i="11"/>
  <c r="J22" i="11"/>
  <c r="H10" i="5"/>
  <c r="D39" i="11"/>
  <c r="H22" i="11"/>
  <c r="D47" i="11"/>
  <c r="H30" i="11"/>
  <c r="G52" i="1"/>
  <c r="F62" i="1"/>
  <c r="D44" i="11"/>
  <c r="F51" i="1"/>
  <c r="D43" i="11"/>
  <c r="BA59" i="1"/>
  <c r="D13" i="5"/>
  <c r="F31" i="1"/>
  <c r="F27" i="1"/>
  <c r="F72" i="1"/>
  <c r="F73" i="1"/>
  <c r="F35" i="1"/>
  <c r="F57" i="1"/>
  <c r="F49" i="1"/>
  <c r="F19" i="1"/>
  <c r="F24" i="1"/>
  <c r="F32" i="1"/>
  <c r="F56" i="1"/>
  <c r="F43" i="1"/>
  <c r="F34" i="1"/>
  <c r="F23" i="1"/>
  <c r="F38" i="1"/>
  <c r="F15" i="1"/>
  <c r="F39" i="1"/>
  <c r="F16" i="1"/>
  <c r="F42" i="1"/>
  <c r="F46" i="1"/>
  <c r="F48" i="1"/>
  <c r="F15" i="5"/>
  <c r="F12" i="5"/>
  <c r="F22" i="1"/>
  <c r="J76" i="1"/>
  <c r="F60" i="1"/>
  <c r="F20" i="1"/>
  <c r="F61" i="1"/>
  <c r="F17" i="5"/>
  <c r="F53" i="1"/>
  <c r="F18" i="5"/>
  <c r="F52" i="1"/>
  <c r="F14" i="5"/>
  <c r="F28" i="1"/>
  <c r="F16" i="5"/>
  <c r="BD59" i="1"/>
  <c r="D11" i="5"/>
  <c r="D57" i="1"/>
  <c r="D58" i="1"/>
  <c r="D59" i="1"/>
  <c r="D60" i="1"/>
  <c r="D61" i="1"/>
  <c r="D63" i="1"/>
  <c r="D36" i="1"/>
  <c r="D37" i="1"/>
  <c r="D38" i="1"/>
  <c r="D40" i="1"/>
  <c r="D41" i="1"/>
  <c r="D42" i="1"/>
  <c r="D43" i="1"/>
  <c r="D44" i="1"/>
  <c r="D45" i="1"/>
  <c r="D48" i="1"/>
  <c r="D49" i="1"/>
  <c r="D50" i="1"/>
  <c r="D51" i="1"/>
  <c r="D52" i="1"/>
  <c r="D53" i="1"/>
  <c r="D54" i="1"/>
  <c r="D55" i="1"/>
  <c r="D56" i="1"/>
  <c r="D26" i="1"/>
  <c r="D27" i="1"/>
  <c r="D28" i="1"/>
  <c r="D29" i="1"/>
  <c r="D30" i="1"/>
  <c r="D31" i="1"/>
  <c r="D32" i="1"/>
  <c r="D33" i="1"/>
  <c r="D34" i="1"/>
  <c r="D35" i="1"/>
  <c r="D14" i="1"/>
  <c r="D15" i="1"/>
  <c r="D16" i="1"/>
  <c r="D17" i="1"/>
  <c r="D18" i="1"/>
  <c r="D19" i="1"/>
  <c r="D20" i="1"/>
  <c r="D21" i="1"/>
  <c r="D22" i="1"/>
  <c r="D23" i="1"/>
  <c r="D24" i="1"/>
  <c r="D25" i="1"/>
  <c r="D13" i="1"/>
  <c r="F13" i="5" l="1"/>
  <c r="D42" i="11"/>
  <c r="G59" i="1"/>
  <c r="E42" i="11"/>
  <c r="H13" i="5"/>
  <c r="F11" i="5"/>
  <c r="F59" i="1"/>
  <c r="E13" i="1"/>
  <c r="E76" i="1" s="1"/>
  <c r="A2" i="3" a="1"/>
  <c r="A2" i="3" s="1"/>
  <c r="AV13" i="1" l="1"/>
  <c r="E11" i="1"/>
  <c r="C20" i="5" l="1"/>
  <c r="E32" i="11"/>
  <c r="C10" i="5"/>
  <c r="E31" i="11"/>
  <c r="AV11" i="1"/>
  <c r="C19" i="5"/>
  <c r="AV76" i="1"/>
  <c r="AW13" i="1"/>
  <c r="E33" i="11" l="1"/>
  <c r="G10" i="11" s="1"/>
  <c r="D20" i="5"/>
  <c r="F32" i="11"/>
  <c r="C21" i="5"/>
  <c r="BA13" i="1"/>
  <c r="G13" i="1" s="1"/>
  <c r="G76" i="1" s="1"/>
  <c r="F31" i="11"/>
  <c r="D19" i="5"/>
  <c r="D10" i="5"/>
  <c r="AW11" i="1"/>
  <c r="BD13" i="1"/>
  <c r="AW76" i="1"/>
  <c r="BA76" i="1" s="1"/>
  <c r="G12" i="11" l="1"/>
  <c r="F33" i="11"/>
  <c r="H20" i="5"/>
  <c r="E49" i="11"/>
  <c r="J32" i="11"/>
  <c r="F20" i="5"/>
  <c r="H32" i="11"/>
  <c r="D49" i="11"/>
  <c r="H31" i="11"/>
  <c r="D48" i="11"/>
  <c r="E48" i="11"/>
  <c r="J31" i="11"/>
  <c r="H19" i="5"/>
  <c r="D21" i="5"/>
  <c r="F10" i="5"/>
  <c r="BD11" i="1"/>
  <c r="F19" i="5"/>
  <c r="BA11" i="1"/>
  <c r="BD76" i="1"/>
  <c r="F13" i="1"/>
  <c r="F76" i="1" s="1"/>
  <c r="G11" i="1"/>
  <c r="G13" i="11" l="1"/>
  <c r="E50" i="11"/>
  <c r="H21" i="5"/>
  <c r="J33" i="11"/>
  <c r="D50" i="11"/>
  <c r="H33" i="11"/>
  <c r="F21" i="5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<sst xmlns="http://schemas.openxmlformats.org/spreadsheetml/2006/main" count="1394" uniqueCount="333">
  <si>
    <t>WW4378 - NPWTP - FISH SCREENS (LAKE)</t>
  </si>
  <si>
    <t>Phase</t>
  </si>
  <si>
    <t>Start</t>
  </si>
  <si>
    <t>End</t>
  </si>
  <si>
    <t xml:space="preserve">Month/Period:   </t>
  </si>
  <si>
    <t>26-08</t>
  </si>
  <si>
    <t>Desgin</t>
  </si>
  <si>
    <t>Construction Tender</t>
  </si>
  <si>
    <t>Closeout</t>
  </si>
  <si>
    <t>Cost Descriptions</t>
  </si>
  <si>
    <t>Budget Variances</t>
  </si>
  <si>
    <t>Month Cost/Variance</t>
  </si>
  <si>
    <t>Current Month</t>
  </si>
  <si>
    <t>Last Month</t>
  </si>
  <si>
    <t>Variance Last moth / To-date</t>
  </si>
  <si>
    <t>Budget Variance</t>
  </si>
  <si>
    <t>Comments</t>
  </si>
  <si>
    <t>Task</t>
  </si>
  <si>
    <t>Who</t>
  </si>
  <si>
    <t>Project Code</t>
  </si>
  <si>
    <t>Format helper</t>
  </si>
  <si>
    <t>Cost  to date 
(B)</t>
  </si>
  <si>
    <t>Total budget variance 
(J)</t>
  </si>
  <si>
    <t>Planned cost Vs Budget
(F)</t>
  </si>
  <si>
    <t xml:space="preserve">Total Cost for month </t>
  </si>
  <si>
    <t>Last Month Forecast</t>
  </si>
  <si>
    <t>Var Actual vs forecast (MO)</t>
  </si>
  <si>
    <t>26-07</t>
  </si>
  <si>
    <t>26-09</t>
  </si>
  <si>
    <t>26-10</t>
  </si>
  <si>
    <t>26-11</t>
  </si>
  <si>
    <t>26-12</t>
  </si>
  <si>
    <t>27-01</t>
  </si>
  <si>
    <t>27-02</t>
  </si>
  <si>
    <t>27-03</t>
  </si>
  <si>
    <t>27-04</t>
  </si>
  <si>
    <t>27-05</t>
  </si>
  <si>
    <t>27-06</t>
  </si>
  <si>
    <t>27-07</t>
  </si>
  <si>
    <t>27-08</t>
  </si>
  <si>
    <t>27-09</t>
  </si>
  <si>
    <t>27-10</t>
  </si>
  <si>
    <t>27-11</t>
  </si>
  <si>
    <t>27-12</t>
  </si>
  <si>
    <t>28-01</t>
  </si>
  <si>
    <t>28-02</t>
  </si>
  <si>
    <t>28-03</t>
  </si>
  <si>
    <t>28-04</t>
  </si>
  <si>
    <t>28-05</t>
  </si>
  <si>
    <t>28-06</t>
  </si>
  <si>
    <t>28-07</t>
  </si>
  <si>
    <t>28-08</t>
  </si>
  <si>
    <t>28-09</t>
  </si>
  <si>
    <t>28-10</t>
  </si>
  <si>
    <t>28-11</t>
  </si>
  <si>
    <t>28-12</t>
  </si>
  <si>
    <t>29-01</t>
  </si>
  <si>
    <t>29-02</t>
  </si>
  <si>
    <t>29-03</t>
  </si>
  <si>
    <t>29-04</t>
  </si>
  <si>
    <t>29-05</t>
  </si>
  <si>
    <t>29-06</t>
  </si>
  <si>
    <t>TOTAL Forecast (CTC)</t>
  </si>
  <si>
    <t>Cost to Date (CTD)</t>
  </si>
  <si>
    <t>Planed cost (FCC)</t>
  </si>
  <si>
    <t>Month Forecast</t>
  </si>
  <si>
    <t>Planned Cost</t>
  </si>
  <si>
    <t>Forecast</t>
  </si>
  <si>
    <t>Budget</t>
  </si>
  <si>
    <t xml:space="preserve">Total budget variance </t>
  </si>
  <si>
    <t xml:space="preserve">Month forecast variance </t>
  </si>
  <si>
    <t>Month Budget Variance</t>
  </si>
  <si>
    <t>Total Budget Variance</t>
  </si>
  <si>
    <t>A</t>
  </si>
  <si>
    <t>B</t>
  </si>
  <si>
    <t>C = A+B</t>
  </si>
  <si>
    <t>D</t>
  </si>
  <si>
    <t>E</t>
  </si>
  <si>
    <t>F = D - C</t>
  </si>
  <si>
    <t>G</t>
  </si>
  <si>
    <t>H</t>
  </si>
  <si>
    <t>J = H - C</t>
  </si>
  <si>
    <t>Comments on G</t>
  </si>
  <si>
    <t>Comments H</t>
  </si>
  <si>
    <t>Comments on J</t>
  </si>
  <si>
    <t>This worksheet</t>
  </si>
  <si>
    <t>Task Codes</t>
  </si>
  <si>
    <t>Totals</t>
  </si>
  <si>
    <t>Variance</t>
  </si>
  <si>
    <t>P3M Entry</t>
  </si>
  <si>
    <t>Month/Period:   </t>
  </si>
  <si>
    <t>The table below shows the spend vs AP/LTP budget for the current FY onwards, and does not include the previous years </t>
  </si>
  <si>
    <t>All budgets are taken from CAPEX Report as of 2 March 2026</t>
  </si>
  <si>
    <t>As at current period</t>
  </si>
  <si>
    <t> FY26 </t>
  </si>
  <si>
    <t> FY27 </t>
  </si>
  <si>
    <t> Totals (FY26 onwards) </t>
  </si>
  <si>
    <t xml:space="preserve">Contingency </t>
  </si>
  <si>
    <t> Spent to date </t>
  </si>
  <si>
    <t xml:space="preserve">Total Project contingency </t>
  </si>
  <si>
    <t> Cost to complete </t>
  </si>
  <si>
    <t xml:space="preserve">Total expended </t>
  </si>
  <si>
    <t> Planned cost </t>
  </si>
  <si>
    <t>Proposed expenditure</t>
  </si>
  <si>
    <t> Budget (p3m) </t>
  </si>
  <si>
    <t>Total Remaining</t>
  </si>
  <si>
    <t> Variance  </t>
  </si>
  <si>
    <t>Cost v Orginal Budget</t>
  </si>
  <si>
    <t xml:space="preserve">The table below shows the finial forecast cost vs initial budget showing overall variance from budget to date and varaince from last period </t>
  </si>
  <si>
    <t>Project code</t>
  </si>
  <si>
    <t xml:space="preserve"> TOTAL Forecast (CTC)
</t>
  </si>
  <si>
    <t xml:space="preserve"> Cost to Date 
</t>
  </si>
  <si>
    <t xml:space="preserve"> Planed cost (FCC) 
</t>
  </si>
  <si>
    <t xml:space="preserve"> Initial Budget 
</t>
  </si>
  <si>
    <t xml:space="preserve"> Total budget variance  
</t>
  </si>
  <si>
    <t xml:space="preserve">Last Month Planned Cost
</t>
  </si>
  <si>
    <t xml:space="preserve"> Variance from last month </t>
  </si>
  <si>
    <t>C = A + B</t>
  </si>
  <si>
    <t>Total</t>
  </si>
  <si>
    <t>The table below shows the finial forecast cost vs initial budget </t>
  </si>
  <si>
    <t> Total budget variance</t>
  </si>
  <si>
    <t> Variance Last month / To-date </t>
  </si>
  <si>
    <t xml:space="preserve">Comments </t>
  </si>
  <si>
    <t>Active risks/ Finical events</t>
  </si>
  <si>
    <t xml:space="preserve">The table below shows event that are ongoing  are being mitiated but that may need to be expended from contingency </t>
  </si>
  <si>
    <t>Item</t>
  </si>
  <si>
    <t>Current value</t>
  </si>
  <si>
    <t>Risk range</t>
  </si>
  <si>
    <t>Compressor sheds</t>
  </si>
  <si>
    <t xml:space="preserve">Construction </t>
  </si>
  <si>
    <t>132 - 150k</t>
  </si>
  <si>
    <t>Since tender the sheds have increased in size by about 8 m2 to allow room between plant</t>
  </si>
  <si>
    <t>Middle intake redesign - Riley costs</t>
  </si>
  <si>
    <t>25 - 35k</t>
  </si>
  <si>
    <t>Middle intake redesign - Construction</t>
  </si>
  <si>
    <t xml:space="preserve">10 - 15k </t>
  </si>
  <si>
    <t xml:space="preserve">Methodology change for middle intake tie in </t>
  </si>
  <si>
    <t>Plugged Rates</t>
  </si>
  <si>
    <t>The table below shows sums that have been allowed for items that have not yet been priced</t>
  </si>
  <si>
    <t>I&amp; E</t>
  </si>
  <si>
    <t>I&amp;E</t>
  </si>
  <si>
    <t>Price to be obtained from NPDC I&amp; E</t>
  </si>
  <si>
    <t>Supply of flowmeters</t>
  </si>
  <si>
    <t>Equipment Supply</t>
  </si>
  <si>
    <t>Supply of Actuators</t>
  </si>
  <si>
    <t>Date</t>
  </si>
  <si>
    <t>Contingency Expended</t>
  </si>
  <si>
    <t> Remaining contingency </t>
  </si>
  <si>
    <t>Reason</t>
  </si>
  <si>
    <t>Status</t>
  </si>
  <si>
    <t>Sum of Amount</t>
  </si>
  <si>
    <t>Column Labels</t>
  </si>
  <si>
    <t>Row Labels</t>
  </si>
  <si>
    <t>26-04</t>
  </si>
  <si>
    <t>26-06</t>
  </si>
  <si>
    <t>(blank)</t>
  </si>
  <si>
    <t>Grand Total</t>
  </si>
  <si>
    <t>WA57102001</t>
  </si>
  <si>
    <t>Stanley Drake</t>
  </si>
  <si>
    <t>Daniel Robert Drummond</t>
  </si>
  <si>
    <t>Flex Projects L</t>
  </si>
  <si>
    <t>WA57102002</t>
  </si>
  <si>
    <t>Scott Ryan</t>
  </si>
  <si>
    <t>Gregory Parkin</t>
  </si>
  <si>
    <t>Month</t>
  </si>
  <si>
    <t>Actuals</t>
  </si>
  <si>
    <t>%</t>
  </si>
  <si>
    <t> TOTAL Forecast (CTC) </t>
  </si>
  <si>
    <t> Cost to Date </t>
  </si>
  <si>
    <t> Planed cost (FCC) </t>
  </si>
  <si>
    <t> Initial Budget </t>
  </si>
  <si>
    <t> Total budget variance  </t>
  </si>
  <si>
    <t>Last Month Planned Cost</t>
  </si>
  <si>
    <t> A </t>
  </si>
  <si>
    <t> B </t>
  </si>
  <si>
    <t> C = A + B </t>
  </si>
  <si>
    <t> D </t>
  </si>
  <si>
    <t> E = C - D </t>
  </si>
  <si>
    <t>F</t>
  </si>
  <si>
    <t>G = C - F</t>
  </si>
  <si>
    <t>Upto end FY25</t>
  </si>
  <si>
    <t xml:space="preserve">Current events </t>
  </si>
  <si>
    <t>Middle intake redesgin - Riley costs</t>
  </si>
  <si>
    <t>Middle intake redesgin - Construction</t>
  </si>
  <si>
    <t>Could be a change to temp works desgin - mitage this requirment through good desgin</t>
  </si>
  <si>
    <t>Plugged Sums</t>
  </si>
  <si>
    <t xml:space="preserve">Contigency </t>
  </si>
  <si>
    <t>Total Project contingect</t>
  </si>
  <si>
    <t>Supply of Acuators</t>
  </si>
  <si>
    <t xml:space="preserve">Remaining contigency </t>
  </si>
  <si>
    <t>Proposed expurdre</t>
  </si>
  <si>
    <t>Task Number</t>
  </si>
  <si>
    <t>Manual Name</t>
  </si>
  <si>
    <t>FY-Period</t>
  </si>
  <si>
    <t>Period</t>
  </si>
  <si>
    <t>Doc Date</t>
  </si>
  <si>
    <t>Units</t>
  </si>
  <si>
    <t>Unit Rate</t>
  </si>
  <si>
    <t>Amount</t>
  </si>
  <si>
    <t>Cost Ledger</t>
  </si>
  <si>
    <t>Cost Account</t>
  </si>
  <si>
    <t>Parent Project Code</t>
  </si>
  <si>
    <t>Resource Code</t>
  </si>
  <si>
    <t>Resource Description</t>
  </si>
  <si>
    <t>Source</t>
  </si>
  <si>
    <t>PO Number</t>
  </si>
  <si>
    <t>PO Comments</t>
  </si>
  <si>
    <t>Supplier Name</t>
  </si>
  <si>
    <t>Narrative 1</t>
  </si>
  <si>
    <t>Narrative 2</t>
  </si>
  <si>
    <t>Narrative 3</t>
  </si>
  <si>
    <t>26PRJA</t>
  </si>
  <si>
    <t>10WA40288001310000</t>
  </si>
  <si>
    <t>WA571</t>
  </si>
  <si>
    <t/>
  </si>
  <si>
    <t>10992</t>
  </si>
  <si>
    <t>TC</t>
  </si>
  <si>
    <t>10992/19/10/2025/10/1</t>
  </si>
  <si>
    <t>DETAILED COST POSTING</t>
  </si>
  <si>
    <t>10WA40288001250000</t>
  </si>
  <si>
    <t>255</t>
  </si>
  <si>
    <t>Contractors Payments</t>
  </si>
  <si>
    <t>AP</t>
  </si>
  <si>
    <t>26-056</t>
  </si>
  <si>
    <t>PP02</t>
  </si>
  <si>
    <t>10664</t>
  </si>
  <si>
    <t>10664/28/12/2025/13/1</t>
  </si>
  <si>
    <t>10664/28/12/2025/5/1</t>
  </si>
  <si>
    <t>PP03</t>
  </si>
  <si>
    <t>10732</t>
  </si>
  <si>
    <t>10732/25/01/2026/1/1</t>
  </si>
  <si>
    <t>10732/25/01/2026/2/1</t>
  </si>
  <si>
    <t>10593</t>
  </si>
  <si>
    <t>10593/25/01/2026/44/1</t>
  </si>
  <si>
    <t>10593/25/01/2026/45/1</t>
  </si>
  <si>
    <t>10593/25/01/2026/46/1</t>
  </si>
  <si>
    <t>10593/25/01/2026/47/1</t>
  </si>
  <si>
    <t>10664/25/01/2026/4/1</t>
  </si>
  <si>
    <t>10664/25/01/2026/5/1</t>
  </si>
  <si>
    <t>10664/25/01/2026/6/1</t>
  </si>
  <si>
    <t>10664/25/01/2026/7/1</t>
  </si>
  <si>
    <t>10664/25/01/2026/8/1</t>
  </si>
  <si>
    <t>10732/08/02/2026/1/1</t>
  </si>
  <si>
    <t>10732/08/02/2026/13/1</t>
  </si>
  <si>
    <t>10732/08/02/2026/17/1</t>
  </si>
  <si>
    <t>10732/08/02/2026/20/1</t>
  </si>
  <si>
    <t>10732/08/02/2026/23/1</t>
  </si>
  <si>
    <t>10732/08/02/2026/26/1</t>
  </si>
  <si>
    <t>10732/08/02/2026/5/1</t>
  </si>
  <si>
    <t>10732/08/02/2026/9/1</t>
  </si>
  <si>
    <t>10732/22/02/2026/1/1</t>
  </si>
  <si>
    <t>10732/22/02/2026/10/1</t>
  </si>
  <si>
    <t>10732/22/02/2026/14/1</t>
  </si>
  <si>
    <t>10732/22/02/2026/18/1</t>
  </si>
  <si>
    <t>10732/22/02/2026/2/1</t>
  </si>
  <si>
    <t>10732/22/02/2026/22/1</t>
  </si>
  <si>
    <t>10732/22/02/2026/26/1</t>
  </si>
  <si>
    <t>10732/22/02/2026/30/1</t>
  </si>
  <si>
    <t>10732/22/02/2026/34/1</t>
  </si>
  <si>
    <t>10732/22/02/2026/6/1</t>
  </si>
  <si>
    <t>10664/08/02/2026/13/1</t>
  </si>
  <si>
    <t>10593/22/02/2026/23/1</t>
  </si>
  <si>
    <t>10664/22/02/2026/1/1</t>
  </si>
  <si>
    <t>10664/22/02/2026/22/1</t>
  </si>
  <si>
    <t>10664/22/02/2026/30/1</t>
  </si>
  <si>
    <t>10664/22/02/2026/9/1</t>
  </si>
  <si>
    <t>PP05</t>
  </si>
  <si>
    <t>10732/08/03/2026/1/1</t>
  </si>
  <si>
    <t>10732/08/03/2026/13/1</t>
  </si>
  <si>
    <t>10732/08/03/2026/17/1</t>
  </si>
  <si>
    <t>10732/08/03/2026/20/1</t>
  </si>
  <si>
    <t>10732/08/03/2026/24/1</t>
  </si>
  <si>
    <t>10732/08/03/2026/28/1</t>
  </si>
  <si>
    <t>10732/08/03/2026/32/1</t>
  </si>
  <si>
    <t>10732/08/03/2026/36/1</t>
  </si>
  <si>
    <t>10732/08/03/2026/5/1</t>
  </si>
  <si>
    <t>10732/08/03/2026/9/1</t>
  </si>
  <si>
    <t>10732/22/03/2026/1/1</t>
  </si>
  <si>
    <t>10732/22/03/2026/2/1</t>
  </si>
  <si>
    <t>10732/22/03/2026/3/1</t>
  </si>
  <si>
    <t>10732/22/03/2026/4/1</t>
  </si>
  <si>
    <t>10732/22/03/2026/5/1</t>
  </si>
  <si>
    <t>10732/22/03/2026/6/1</t>
  </si>
  <si>
    <t>10732/22/03/2026/7/1</t>
  </si>
  <si>
    <t>10732/22/03/2026/8/1</t>
  </si>
  <si>
    <t>10732/22/03/2026/9/1</t>
  </si>
  <si>
    <t>10664/22/03/2026/6/1</t>
  </si>
  <si>
    <t>10664/22/03/2026/7/1</t>
  </si>
  <si>
    <t>Sidonia</t>
  </si>
  <si>
    <t>Scott</t>
  </si>
  <si>
    <t>Gordon</t>
  </si>
  <si>
    <t xml:space="preserve">Rachelle </t>
  </si>
  <si>
    <t>Ben</t>
  </si>
  <si>
    <t xml:space="preserve">Graeme </t>
  </si>
  <si>
    <t>Jess</t>
  </si>
  <si>
    <t>Daniel</t>
  </si>
  <si>
    <t>greg</t>
  </si>
  <si>
    <t>Beca</t>
  </si>
  <si>
    <t>WA57102003</t>
  </si>
  <si>
    <t>Beca - Pipeline detail desgin</t>
  </si>
  <si>
    <t>Meghan</t>
  </si>
  <si>
    <t>WA57102005</t>
  </si>
  <si>
    <t>TRC consents</t>
  </si>
  <si>
    <t>NPDC Consents</t>
  </si>
  <si>
    <t>WA57103001</t>
  </si>
  <si>
    <t>Simon</t>
  </si>
  <si>
    <t xml:space="preserve">Daniel </t>
  </si>
  <si>
    <t>WA57103002</t>
  </si>
  <si>
    <t>Construction</t>
  </si>
  <si>
    <t>WA57103003</t>
  </si>
  <si>
    <t>WA57103004</t>
  </si>
  <si>
    <t>Ecolocal support ( defishing and reporting)</t>
  </si>
  <si>
    <t>WA57103007</t>
  </si>
  <si>
    <t>Headcontractor</t>
  </si>
  <si>
    <t>Geotech contractor</t>
  </si>
  <si>
    <t>Pipecovering contractor</t>
  </si>
  <si>
    <t>Iwi engagement</t>
  </si>
  <si>
    <t>WA57103009</t>
  </si>
  <si>
    <t>WA57104001</t>
  </si>
  <si>
    <t>WA57104002</t>
  </si>
  <si>
    <t>WA57100000</t>
  </si>
  <si>
    <t>Sundry materials</t>
  </si>
  <si>
    <t>Project Contingency (P50)</t>
  </si>
  <si>
    <t>William Monk</t>
  </si>
  <si>
    <t>Project Management</t>
  </si>
  <si>
    <t>Internal Staff Costs</t>
  </si>
  <si>
    <t>Design Consultants</t>
  </si>
  <si>
    <t>Compliance</t>
  </si>
  <si>
    <t>Iwi Engagement</t>
  </si>
  <si>
    <t>Close Out</t>
  </si>
  <si>
    <t>Contigency</t>
  </si>
  <si>
    <t> FY28</t>
  </si>
  <si>
    <t>WW4378 - NPWTP - River Intake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</si>
</sst>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mmm"/>
    <numFmt numFmtId="165" formatCode="_-* #,##0_-;\-* #,##0_-;_-* &quot;-&quot;??_-;_-@_-"/>
    <numFmt numFmtId="166" formatCode="#,##0;[Red]\-#,##0;&quot;-&quot;;@"/>
    <numFmt numFmtId="167" formatCode="[Color10]#,##0;[Red]\-#,##0;&quot;-&quot;;@"/>
    <numFmt numFmtId="168" formatCode="mmm\ \-\ 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</font>
    <font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Aptos Narrow"/>
      <family val="2"/>
    </font>
    <font>
      <b/>
      <i/>
      <sz val="11"/>
      <name val="Calibri"/>
      <family val="2"/>
      <scheme val="minor"/>
    </font>
    <font>
      <sz val="10"/>
      <color theme="1"/>
      <name val="Times New Roman"/>
      <family val="1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i/>
      <sz val="12"/>
      <color rgb="FF000000"/>
      <name val="Calibri"/>
      <family val="2"/>
    </font>
    <font>
      <b/>
      <sz val="12"/>
      <color theme="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i/>
      <sz val="12"/>
      <color theme="1"/>
      <name val="Calibri"/>
      <family val="2"/>
      <scheme val="minor"/>
    </font>
    <font>
      <sz val="14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6A8ED0"/>
        <bgColor theme="8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9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Dot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/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Dot">
        <color indexed="64"/>
      </left>
      <right style="thin">
        <color indexed="64"/>
      </right>
      <top style="thin">
        <color indexed="64"/>
      </top>
      <bottom/>
      <diagonal/>
    </border>
    <border>
      <left style="mediumDashDot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DashDot">
        <color indexed="64"/>
      </left>
      <right/>
      <top/>
      <bottom/>
      <diagonal/>
    </border>
    <border>
      <left style="mediumDashDot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FFFF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14999847407452621"/>
      </bottom>
      <diagonal/>
    </border>
    <border>
      <left style="medium">
        <color indexed="64"/>
      </left>
      <right style="thin">
        <color indexed="64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medium">
        <color indexed="64"/>
      </bottom>
      <diagonal/>
    </border>
    <border>
      <left style="mediumDash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DashDot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DashDot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rgb="FFFFFFFF"/>
      </bottom>
      <diagonal/>
    </border>
    <border>
      <left style="thin">
        <color theme="0"/>
      </left>
      <right style="thin">
        <color theme="0"/>
      </right>
      <top/>
      <bottom style="medium">
        <color rgb="FFFFFFFF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rgb="FFFFFFFF"/>
      </left>
      <right style="thin">
        <color theme="0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thin">
        <color theme="0"/>
      </right>
      <top/>
      <bottom style="medium">
        <color rgb="FFFFFFFF"/>
      </bottom>
      <diagonal/>
    </border>
    <border>
      <left style="medium">
        <color rgb="FFFFFFFF"/>
      </left>
      <right style="thin">
        <color theme="0"/>
      </right>
      <top/>
      <bottom/>
      <diagonal/>
    </border>
    <border>
      <left style="thin">
        <color indexed="64"/>
      </left>
      <right/>
      <top/>
      <bottom style="thin">
        <color theme="0" tint="-0.14999847407452621"/>
      </bottom>
      <diagonal/>
    </border>
    <border>
      <left style="medium">
        <color indexed="64"/>
      </left>
      <right/>
      <top/>
      <bottom style="thin">
        <color theme="0" tint="-0.1499984740745262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/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indexed="64"/>
      </right>
      <top/>
      <bottom/>
      <diagonal/>
    </border>
    <border>
      <left style="thin">
        <color theme="5" tint="0.39997558519241921"/>
      </left>
      <right style="thin">
        <color indexed="64"/>
      </right>
      <top/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indexed="64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indexed="64"/>
      </right>
      <top style="thin">
        <color theme="5" tint="0.39997558519241921"/>
      </top>
      <bottom/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medium">
        <color theme="1"/>
      </bottom>
      <diagonal/>
    </border>
    <border>
      <left/>
      <right/>
      <top style="thin">
        <color theme="5" tint="0.39997558519241921"/>
      </top>
      <bottom style="thin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auto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6" tint="0.39997558519241921"/>
      </right>
      <top style="thin">
        <color theme="1"/>
      </top>
      <bottom style="thin">
        <color theme="6" tint="0.39997558519241921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auto="1"/>
      </bottom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thin">
        <color theme="0" tint="-0.249977111117893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/>
      <top/>
      <bottom style="thin">
        <color indexed="64"/>
      </bottom>
      <diagonal/>
    </border>
    <border>
      <left/>
      <right style="thin">
        <color theme="8" tint="0.39997558519241921"/>
      </right>
      <top/>
      <bottom style="thin">
        <color theme="8" tint="0.39997558519241921"/>
      </bottom>
      <diagonal/>
    </border>
    <border>
      <left style="thin">
        <color theme="8" tint="0.39997558519241921"/>
      </left>
      <right style="thin">
        <color indexed="64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 style="thin">
        <color indexed="64"/>
      </right>
      <top style="thin">
        <color theme="8" tint="0.39997558519241921"/>
      </top>
      <bottom/>
      <diagonal/>
    </border>
    <border>
      <left style="thin">
        <color theme="8" tint="0.39997558519241921"/>
      </left>
      <right style="thin">
        <color indexed="64"/>
      </right>
      <top/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indexed="64"/>
      </bottom>
      <diagonal/>
    </border>
    <border>
      <left style="thin">
        <color theme="8" tint="0.39997558519241921"/>
      </left>
      <right/>
      <top/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indexed="64"/>
      </bottom>
      <diagonal/>
    </border>
    <border>
      <left style="thin">
        <color theme="8" tint="0.39997558519241921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8" tint="0.39997558519241921"/>
      </right>
      <top/>
      <bottom style="thin">
        <color indexed="64"/>
      </bottom>
      <diagonal/>
    </border>
    <border>
      <left style="thin">
        <color theme="8" tint="0.39997558519241921"/>
      </left>
      <right style="thin">
        <color theme="8" tint="0.39997558519241921"/>
      </right>
      <top/>
      <bottom style="thin">
        <color indexed="64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indexed="64"/>
      </bottom>
      <diagonal/>
    </border>
    <border>
      <left style="thin">
        <color theme="8" tint="0.39997558519241921"/>
      </left>
      <right style="thin">
        <color indexed="64"/>
      </right>
      <top/>
      <bottom/>
      <diagonal/>
    </border>
    <border>
      <left style="thin">
        <color theme="0" tint="-0.34998626667073579"/>
      </left>
      <right/>
      <top style="medium">
        <color theme="1"/>
      </top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medium">
        <color theme="1"/>
      </bottom>
      <diagonal/>
    </border>
    <border>
      <left style="thin">
        <color theme="0" tint="-0.34998626667073579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0" tint="-0.34998626667073579"/>
      </left>
      <right/>
      <top style="thin">
        <color theme="6" tint="0.39997558519241921"/>
      </top>
      <bottom style="medium">
        <color theme="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0" tint="-0.34998626667073579"/>
      </left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0" tint="-0.34998626667073579"/>
      </left>
      <right style="thin">
        <color theme="9" tint="0.39997558519241921"/>
      </right>
      <top style="thin">
        <color theme="9" tint="0.39997558519241921"/>
      </top>
      <bottom style="thin">
        <color auto="1"/>
      </bottom>
      <diagonal/>
    </border>
    <border>
      <left style="thin">
        <color theme="9" tint="0.39997558519241921"/>
      </left>
      <right/>
      <top/>
      <bottom/>
      <diagonal/>
    </border>
    <border>
      <left style="thin">
        <color theme="0" tint="-0.34998626667073579"/>
      </left>
      <right style="thin">
        <color theme="9" tint="0.39997558519241921"/>
      </right>
      <top/>
      <bottom/>
      <diagonal/>
    </border>
    <border>
      <left style="thin">
        <color theme="9" tint="0.39997558519241921"/>
      </left>
      <right/>
      <top style="thin">
        <color theme="1"/>
      </top>
      <bottom style="thin">
        <color theme="1"/>
      </bottom>
      <diagonal/>
    </border>
    <border>
      <left/>
      <right style="thin">
        <color theme="5" tint="0.39997558519241921"/>
      </right>
      <top style="thin">
        <color theme="1"/>
      </top>
      <bottom style="thin">
        <color theme="1"/>
      </bottom>
      <diagonal/>
    </border>
    <border>
      <left style="thin">
        <color theme="5" tint="0.39997558519241921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34998626667073579"/>
      </right>
      <top style="medium">
        <color theme="1"/>
      </top>
      <bottom/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medium">
        <color theme="1"/>
      </bottom>
      <diagonal/>
    </border>
    <border>
      <left style="thin">
        <color theme="0" tint="-0.34998626667073579"/>
      </left>
      <right/>
      <top style="thin">
        <color theme="6" tint="0.39997558519241921"/>
      </top>
      <bottom/>
      <diagonal/>
    </border>
    <border>
      <left style="thin">
        <color theme="6" tint="0.39997558519241921"/>
      </left>
      <right/>
      <top style="medium">
        <color theme="1"/>
      </top>
      <bottom style="thin">
        <color theme="1"/>
      </bottom>
      <diagonal/>
    </border>
    <border>
      <left style="thin">
        <color theme="0" tint="-0.34998626667073579"/>
      </left>
      <right/>
      <top style="medium">
        <color theme="1"/>
      </top>
      <bottom style="thin">
        <color theme="1"/>
      </bottom>
      <diagonal/>
    </border>
    <border>
      <left/>
      <right style="thin">
        <color theme="6" tint="0.39997558519241921"/>
      </right>
      <top style="medium">
        <color theme="1"/>
      </top>
      <bottom style="thin">
        <color theme="1"/>
      </bottom>
      <diagonal/>
    </border>
    <border>
      <left style="thin">
        <color theme="0" tint="-0.34998626667073579"/>
      </left>
      <right/>
      <top style="thin">
        <color theme="1"/>
      </top>
      <bottom style="thin">
        <color theme="6" tint="0.39997558519241921"/>
      </bottom>
      <diagonal/>
    </border>
    <border>
      <left/>
      <right style="thin">
        <color theme="0" tint="-0.34998626667073579"/>
      </right>
      <top style="thin">
        <color theme="1"/>
      </top>
      <bottom style="thin">
        <color theme="6" tint="0.39997558519241921"/>
      </bottom>
      <diagonal/>
    </border>
    <border>
      <left/>
      <right style="thin">
        <color theme="0" tint="-0.34998626667073579"/>
      </right>
      <top style="medium">
        <color theme="1"/>
      </top>
      <bottom style="thin">
        <color theme="1"/>
      </bottom>
      <diagonal/>
    </border>
    <border>
      <left/>
      <right style="thin">
        <color theme="0" tint="-0.34998626667073579"/>
      </right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0" tint="-0.34998626667073579"/>
      </right>
      <top style="thin">
        <color theme="6" tint="0.39997558519241921"/>
      </top>
      <bottom style="medium">
        <color theme="1"/>
      </bottom>
      <diagonal/>
    </border>
    <border>
      <left style="thin">
        <color theme="5" tint="0.39997558519241921"/>
      </left>
      <right style="thin">
        <color theme="1"/>
      </right>
      <top/>
      <bottom/>
      <diagonal/>
    </border>
    <border>
      <left style="thin">
        <color theme="8" tint="0.39997558519241921"/>
      </left>
      <right/>
      <top style="thin">
        <color indexed="64"/>
      </top>
      <bottom style="thin">
        <color theme="8" tint="0.39997558519241921"/>
      </bottom>
      <diagonal/>
    </border>
    <border>
      <left/>
      <right/>
      <top style="thin">
        <color indexed="64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indexed="64"/>
      </top>
      <bottom style="thin">
        <color theme="8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4" tint="0.39997558519241921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9" fillId="0" borderId="0"/>
    <xf numFmtId="9" fontId="1" fillId="0" borderId="0" applyFont="0" applyFill="0" applyBorder="0" applyAlignment="0" applyProtection="0"/>
  </cellStyleXfs>
  <cellXfs count="487">
    <xf numFmtId="0" fontId="0" fillId="0" borderId="0" xfId="0"/>
    <xf numFmtId="43" fontId="0" fillId="0" borderId="0" xfId="1" applyFont="1"/>
    <xf numFmtId="0" fontId="0" fillId="0" borderId="5" xfId="0" applyBorder="1"/>
    <xf numFmtId="165" fontId="0" fillId="0" borderId="6" xfId="1" applyNumberFormat="1" applyFont="1" applyBorder="1" applyProtection="1">
      <protection locked="0"/>
    </xf>
    <xf numFmtId="0" fontId="6" fillId="0" borderId="0" xfId="0" applyFont="1"/>
    <xf numFmtId="49" fontId="2" fillId="0" borderId="0" xfId="0" applyNumberFormat="1" applyFont="1"/>
    <xf numFmtId="14" fontId="0" fillId="0" borderId="0" xfId="0" applyNumberFormat="1"/>
    <xf numFmtId="0" fontId="9" fillId="0" borderId="0" xfId="4"/>
    <xf numFmtId="0" fontId="0" fillId="6" borderId="5" xfId="0" applyFill="1" applyBorder="1"/>
    <xf numFmtId="0" fontId="0" fillId="5" borderId="0" xfId="0" applyFill="1"/>
    <xf numFmtId="43" fontId="0" fillId="9" borderId="0" xfId="1" applyFont="1" applyFill="1"/>
    <xf numFmtId="1" fontId="0" fillId="0" borderId="0" xfId="0" applyNumberFormat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1" applyNumberFormat="1" applyFont="1" applyBorder="1" applyProtection="1">
      <protection locked="0"/>
    </xf>
    <xf numFmtId="0" fontId="5" fillId="0" borderId="3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165" fontId="0" fillId="0" borderId="23" xfId="1" applyNumberFormat="1" applyFont="1" applyBorder="1" applyProtection="1">
      <protection locked="0"/>
    </xf>
    <xf numFmtId="165" fontId="0" fillId="0" borderId="21" xfId="1" applyNumberFormat="1" applyFont="1" applyBorder="1" applyProtection="1">
      <protection locked="0"/>
    </xf>
    <xf numFmtId="49" fontId="5" fillId="0" borderId="46" xfId="0" applyNumberFormat="1" applyFont="1" applyBorder="1" applyAlignment="1">
      <alignment horizontal="center" vertical="center"/>
    </xf>
    <xf numFmtId="49" fontId="5" fillId="0" borderId="27" xfId="0" applyNumberFormat="1" applyFont="1" applyBorder="1" applyAlignment="1">
      <alignment horizontal="center" vertical="center"/>
    </xf>
    <xf numFmtId="49" fontId="5" fillId="0" borderId="4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165" fontId="0" fillId="0" borderId="54" xfId="1" applyNumberFormat="1" applyFont="1" applyBorder="1" applyProtection="1">
      <protection locked="0"/>
    </xf>
    <xf numFmtId="49" fontId="5" fillId="4" borderId="29" xfId="0" quotePrefix="1" applyNumberFormat="1" applyFont="1" applyFill="1" applyBorder="1" applyAlignment="1">
      <alignment horizontal="center" vertical="center"/>
    </xf>
    <xf numFmtId="49" fontId="5" fillId="4" borderId="37" xfId="0" quotePrefix="1" applyNumberFormat="1" applyFont="1" applyFill="1" applyBorder="1" applyAlignment="1">
      <alignment horizontal="center" vertical="center"/>
    </xf>
    <xf numFmtId="49" fontId="5" fillId="5" borderId="44" xfId="0" quotePrefix="1" applyNumberFormat="1" applyFont="1" applyFill="1" applyBorder="1" applyAlignment="1">
      <alignment horizontal="center" vertical="center"/>
    </xf>
    <xf numFmtId="49" fontId="5" fillId="5" borderId="29" xfId="0" quotePrefix="1" applyNumberFormat="1" applyFont="1" applyFill="1" applyBorder="1" applyAlignment="1">
      <alignment horizontal="center" vertical="center"/>
    </xf>
    <xf numFmtId="49" fontId="5" fillId="5" borderId="9" xfId="0" quotePrefix="1" applyNumberFormat="1" applyFont="1" applyFill="1" applyBorder="1" applyAlignment="1">
      <alignment horizontal="center" vertical="center"/>
    </xf>
    <xf numFmtId="49" fontId="5" fillId="5" borderId="61" xfId="0" quotePrefix="1" applyNumberFormat="1" applyFont="1" applyFill="1" applyBorder="1" applyAlignment="1">
      <alignment horizontal="center" vertical="center"/>
    </xf>
    <xf numFmtId="49" fontId="5" fillId="5" borderId="37" xfId="0" quotePrefix="1" applyNumberFormat="1" applyFont="1" applyFill="1" applyBorder="1" applyAlignment="1">
      <alignment horizontal="center" vertical="center"/>
    </xf>
    <xf numFmtId="49" fontId="5" fillId="6" borderId="2" xfId="0" quotePrefix="1" applyNumberFormat="1" applyFont="1" applyFill="1" applyBorder="1" applyAlignment="1">
      <alignment horizontal="center" vertical="center"/>
    </xf>
    <xf numFmtId="49" fontId="5" fillId="5" borderId="2" xfId="0" quotePrefix="1" applyNumberFormat="1" applyFont="1" applyFill="1" applyBorder="1" applyAlignment="1">
      <alignment horizontal="center" vertical="center"/>
    </xf>
    <xf numFmtId="49" fontId="5" fillId="5" borderId="5" xfId="0" quotePrefix="1" applyNumberFormat="1" applyFont="1" applyFill="1" applyBorder="1" applyAlignment="1">
      <alignment horizontal="center" vertical="center"/>
    </xf>
    <xf numFmtId="49" fontId="5" fillId="8" borderId="46" xfId="0" quotePrefix="1" applyNumberFormat="1" applyFont="1" applyFill="1" applyBorder="1" applyAlignment="1">
      <alignment horizontal="center" vertical="center"/>
    </xf>
    <xf numFmtId="164" fontId="5" fillId="6" borderId="32" xfId="0" applyNumberFormat="1" applyFont="1" applyFill="1" applyBorder="1" applyAlignment="1">
      <alignment horizontal="center" vertical="center"/>
    </xf>
    <xf numFmtId="164" fontId="5" fillId="6" borderId="15" xfId="0" applyNumberFormat="1" applyFont="1" applyFill="1" applyBorder="1" applyAlignment="1">
      <alignment horizontal="center" vertical="center"/>
    </xf>
    <xf numFmtId="164" fontId="5" fillId="6" borderId="17" xfId="0" applyNumberFormat="1" applyFont="1" applyFill="1" applyBorder="1" applyAlignment="1">
      <alignment horizontal="center" vertical="center"/>
    </xf>
    <xf numFmtId="164" fontId="5" fillId="6" borderId="16" xfId="0" applyNumberFormat="1" applyFont="1" applyFill="1" applyBorder="1" applyAlignment="1">
      <alignment horizontal="center" vertical="center"/>
    </xf>
    <xf numFmtId="164" fontId="5" fillId="4" borderId="58" xfId="0" applyNumberFormat="1" applyFont="1" applyFill="1" applyBorder="1" applyAlignment="1">
      <alignment horizontal="center" vertical="center"/>
    </xf>
    <xf numFmtId="164" fontId="5" fillId="4" borderId="15" xfId="0" applyNumberFormat="1" applyFont="1" applyFill="1" applyBorder="1" applyAlignment="1">
      <alignment horizontal="center" vertical="center"/>
    </xf>
    <xf numFmtId="164" fontId="5" fillId="4" borderId="17" xfId="0" applyNumberFormat="1" applyFont="1" applyFill="1" applyBorder="1" applyAlignment="1">
      <alignment horizontal="center" vertical="center"/>
    </xf>
    <xf numFmtId="164" fontId="5" fillId="4" borderId="14" xfId="0" applyNumberFormat="1" applyFont="1" applyFill="1" applyBorder="1" applyAlignment="1">
      <alignment horizontal="center" vertical="center"/>
    </xf>
    <xf numFmtId="164" fontId="5" fillId="7" borderId="15" xfId="0" applyNumberFormat="1" applyFont="1" applyFill="1" applyBorder="1" applyAlignment="1">
      <alignment horizontal="center" vertical="center"/>
    </xf>
    <xf numFmtId="164" fontId="5" fillId="7" borderId="39" xfId="0" applyNumberFormat="1" applyFont="1" applyFill="1" applyBorder="1" applyAlignment="1">
      <alignment horizontal="center" vertical="center"/>
    </xf>
    <xf numFmtId="166" fontId="5" fillId="0" borderId="34" xfId="1" applyNumberFormat="1" applyFont="1" applyFill="1" applyBorder="1" applyAlignment="1">
      <alignment horizontal="center" vertical="center"/>
    </xf>
    <xf numFmtId="166" fontId="5" fillId="0" borderId="40" xfId="1" applyNumberFormat="1" applyFont="1" applyFill="1" applyBorder="1" applyAlignment="1">
      <alignment horizontal="center" vertical="center"/>
    </xf>
    <xf numFmtId="166" fontId="5" fillId="0" borderId="19" xfId="1" applyNumberFormat="1" applyFont="1" applyFill="1" applyBorder="1" applyAlignment="1">
      <alignment horizontal="center" vertical="center"/>
    </xf>
    <xf numFmtId="166" fontId="5" fillId="8" borderId="34" xfId="0" quotePrefix="1" applyNumberFormat="1" applyFont="1" applyFill="1" applyBorder="1" applyAlignment="1">
      <alignment horizontal="center" vertical="center" wrapText="1"/>
    </xf>
    <xf numFmtId="166" fontId="5" fillId="12" borderId="40" xfId="1" applyNumberFormat="1" applyFont="1" applyFill="1" applyBorder="1" applyAlignment="1">
      <alignment horizontal="center" vertical="center"/>
    </xf>
    <xf numFmtId="166" fontId="10" fillId="0" borderId="11" xfId="1" applyNumberFormat="1" applyFont="1" applyBorder="1" applyAlignment="1">
      <alignment horizontal="center" vertical="center"/>
    </xf>
    <xf numFmtId="166" fontId="10" fillId="0" borderId="41" xfId="1" applyNumberFormat="1" applyFont="1" applyBorder="1" applyAlignment="1">
      <alignment horizontal="center" vertical="center"/>
    </xf>
    <xf numFmtId="166" fontId="10" fillId="0" borderId="10" xfId="1" applyNumberFormat="1" applyFont="1" applyBorder="1" applyAlignment="1">
      <alignment horizontal="center" vertical="center"/>
    </xf>
    <xf numFmtId="166" fontId="10" fillId="0" borderId="36" xfId="1" applyNumberFormat="1" applyFont="1" applyBorder="1" applyAlignment="1">
      <alignment horizontal="center" vertical="center"/>
    </xf>
    <xf numFmtId="166" fontId="5" fillId="0" borderId="11" xfId="1" applyNumberFormat="1" applyFont="1" applyBorder="1"/>
    <xf numFmtId="166" fontId="10" fillId="0" borderId="41" xfId="1" applyNumberFormat="1" applyFont="1" applyFill="1" applyBorder="1" applyAlignment="1">
      <alignment horizontal="center" vertical="center"/>
    </xf>
    <xf numFmtId="165" fontId="10" fillId="0" borderId="0" xfId="1" applyNumberFormat="1" applyFont="1" applyBorder="1" applyAlignment="1">
      <alignment horizontal="center" vertical="center"/>
    </xf>
    <xf numFmtId="165" fontId="5" fillId="0" borderId="0" xfId="1" applyNumberFormat="1" applyFont="1" applyBorder="1"/>
    <xf numFmtId="165" fontId="5" fillId="0" borderId="11" xfId="1" applyNumberFormat="1" applyFont="1" applyBorder="1"/>
    <xf numFmtId="165" fontId="5" fillId="0" borderId="0" xfId="1" applyNumberFormat="1" applyFont="1"/>
    <xf numFmtId="165" fontId="0" fillId="0" borderId="60" xfId="1" applyNumberFormat="1" applyFont="1" applyBorder="1" applyProtection="1">
      <protection locked="0"/>
    </xf>
    <xf numFmtId="165" fontId="5" fillId="0" borderId="8" xfId="1" applyNumberFormat="1" applyFont="1" applyBorder="1"/>
    <xf numFmtId="166" fontId="5" fillId="12" borderId="19" xfId="1" applyNumberFormat="1" applyFont="1" applyFill="1" applyBorder="1" applyAlignment="1">
      <alignment horizontal="center" vertical="center"/>
    </xf>
    <xf numFmtId="0" fontId="0" fillId="0" borderId="21" xfId="0" applyBorder="1" applyProtection="1">
      <protection locked="0"/>
    </xf>
    <xf numFmtId="0" fontId="0" fillId="0" borderId="54" xfId="0" applyBorder="1"/>
    <xf numFmtId="49" fontId="5" fillId="6" borderId="31" xfId="0" quotePrefix="1" applyNumberFormat="1" applyFont="1" applyFill="1" applyBorder="1" applyAlignment="1">
      <alignment horizontal="center" vertical="center"/>
    </xf>
    <xf numFmtId="164" fontId="5" fillId="7" borderId="32" xfId="0" applyNumberFormat="1" applyFont="1" applyFill="1" applyBorder="1" applyAlignment="1">
      <alignment horizontal="center" vertical="center"/>
    </xf>
    <xf numFmtId="165" fontId="0" fillId="7" borderId="21" xfId="1" applyNumberFormat="1" applyFont="1" applyFill="1" applyBorder="1" applyProtection="1">
      <protection locked="0"/>
    </xf>
    <xf numFmtId="165" fontId="7" fillId="0" borderId="38" xfId="1" applyNumberFormat="1" applyFont="1" applyBorder="1" applyProtection="1">
      <protection locked="0"/>
    </xf>
    <xf numFmtId="49" fontId="5" fillId="8" borderId="37" xfId="0" quotePrefix="1" applyNumberFormat="1" applyFont="1" applyFill="1" applyBorder="1" applyAlignment="1">
      <alignment horizontal="center" vertical="center"/>
    </xf>
    <xf numFmtId="165" fontId="7" fillId="0" borderId="54" xfId="1" applyNumberFormat="1" applyFont="1" applyBorder="1" applyProtection="1">
      <protection locked="0"/>
    </xf>
    <xf numFmtId="166" fontId="5" fillId="8" borderId="65" xfId="0" quotePrefix="1" applyNumberFormat="1" applyFont="1" applyFill="1" applyBorder="1" applyAlignment="1">
      <alignment horizontal="center" vertical="center" wrapText="1"/>
    </xf>
    <xf numFmtId="0" fontId="5" fillId="0" borderId="52" xfId="0" applyFont="1" applyBorder="1" applyAlignment="1">
      <alignment horizontal="center" vertical="center"/>
    </xf>
    <xf numFmtId="16" fontId="5" fillId="8" borderId="56" xfId="0" quotePrefix="1" applyNumberFormat="1" applyFont="1" applyFill="1" applyBorder="1" applyAlignment="1">
      <alignment horizontal="center" vertical="center" wrapText="1"/>
    </xf>
    <xf numFmtId="16" fontId="5" fillId="8" borderId="72" xfId="0" quotePrefix="1" applyNumberFormat="1" applyFont="1" applyFill="1" applyBorder="1" applyAlignment="1">
      <alignment horizontal="center" vertical="center" wrapText="1"/>
    </xf>
    <xf numFmtId="16" fontId="5" fillId="8" borderId="49" xfId="0" quotePrefix="1" applyNumberFormat="1" applyFont="1" applyFill="1" applyBorder="1" applyAlignment="1">
      <alignment horizontal="center" vertical="center" wrapText="1"/>
    </xf>
    <xf numFmtId="49" fontId="5" fillId="8" borderId="74" xfId="0" quotePrefix="1" applyNumberFormat="1" applyFont="1" applyFill="1" applyBorder="1" applyAlignment="1">
      <alignment horizontal="center" vertical="center"/>
    </xf>
    <xf numFmtId="43" fontId="5" fillId="8" borderId="1" xfId="1" quotePrefix="1" applyFont="1" applyFill="1" applyBorder="1" applyAlignment="1">
      <alignment horizontal="center" vertical="center"/>
    </xf>
    <xf numFmtId="43" fontId="5" fillId="8" borderId="33" xfId="1" quotePrefix="1" applyFont="1" applyFill="1" applyBorder="1" applyAlignment="1">
      <alignment horizontal="center" vertical="center"/>
    </xf>
    <xf numFmtId="166" fontId="5" fillId="8" borderId="20" xfId="0" quotePrefix="1" applyNumberFormat="1" applyFont="1" applyFill="1" applyBorder="1" applyAlignment="1">
      <alignment horizontal="center" vertical="center" wrapText="1"/>
    </xf>
    <xf numFmtId="17" fontId="13" fillId="14" borderId="77" xfId="0" applyNumberFormat="1" applyFont="1" applyFill="1" applyBorder="1" applyAlignment="1">
      <alignment horizontal="right" vertical="center"/>
    </xf>
    <xf numFmtId="0" fontId="11" fillId="0" borderId="0" xfId="0" applyFont="1"/>
    <xf numFmtId="17" fontId="13" fillId="15" borderId="77" xfId="0" applyNumberFormat="1" applyFont="1" applyFill="1" applyBorder="1" applyAlignment="1">
      <alignment horizontal="right" vertical="center"/>
    </xf>
    <xf numFmtId="17" fontId="13" fillId="15" borderId="79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top"/>
    </xf>
    <xf numFmtId="0" fontId="12" fillId="0" borderId="55" xfId="0" applyFont="1" applyBorder="1" applyAlignment="1">
      <alignment vertical="center"/>
    </xf>
    <xf numFmtId="16" fontId="12" fillId="15" borderId="53" xfId="0" applyNumberFormat="1" applyFont="1" applyFill="1" applyBorder="1" applyAlignment="1">
      <alignment vertical="center"/>
    </xf>
    <xf numFmtId="165" fontId="7" fillId="0" borderId="71" xfId="1" applyNumberFormat="1" applyFont="1" applyFill="1" applyBorder="1" applyProtection="1">
      <protection locked="0"/>
    </xf>
    <xf numFmtId="0" fontId="0" fillId="8" borderId="4" xfId="0" applyFill="1" applyBorder="1"/>
    <xf numFmtId="0" fontId="0" fillId="8" borderId="0" xfId="0" applyFill="1"/>
    <xf numFmtId="0" fontId="0" fillId="8" borderId="18" xfId="0" applyFill="1" applyBorder="1"/>
    <xf numFmtId="0" fontId="4" fillId="8" borderId="0" xfId="0" applyFont="1" applyFill="1"/>
    <xf numFmtId="0" fontId="0" fillId="8" borderId="72" xfId="0" applyFill="1" applyBorder="1"/>
    <xf numFmtId="0" fontId="0" fillId="8" borderId="5" xfId="0" applyFill="1" applyBorder="1"/>
    <xf numFmtId="0" fontId="4" fillId="8" borderId="5" xfId="0" applyFont="1" applyFill="1" applyBorder="1"/>
    <xf numFmtId="0" fontId="0" fillId="8" borderId="2" xfId="0" applyFill="1" applyBorder="1"/>
    <xf numFmtId="0" fontId="0" fillId="8" borderId="0" xfId="0" applyFill="1" applyProtection="1">
      <protection locked="0"/>
    </xf>
    <xf numFmtId="0" fontId="0" fillId="8" borderId="71" xfId="0" applyFill="1" applyBorder="1"/>
    <xf numFmtId="0" fontId="3" fillId="8" borderId="0" xfId="0" applyFont="1" applyFill="1" applyAlignment="1">
      <alignment horizontal="center" vertical="top"/>
    </xf>
    <xf numFmtId="0" fontId="2" fillId="8" borderId="3" xfId="0" applyFont="1" applyFill="1" applyBorder="1"/>
    <xf numFmtId="49" fontId="2" fillId="8" borderId="3" xfId="0" quotePrefix="1" applyNumberFormat="1" applyFont="1" applyFill="1" applyBorder="1"/>
    <xf numFmtId="0" fontId="0" fillId="8" borderId="1" xfId="0" applyFill="1" applyBorder="1"/>
    <xf numFmtId="0" fontId="0" fillId="8" borderId="52" xfId="0" applyFill="1" applyBorder="1"/>
    <xf numFmtId="0" fontId="4" fillId="8" borderId="52" xfId="0" applyFont="1" applyFill="1" applyBorder="1"/>
    <xf numFmtId="0" fontId="0" fillId="8" borderId="22" xfId="0" applyFill="1" applyBorder="1"/>
    <xf numFmtId="0" fontId="3" fillId="8" borderId="11" xfId="0" applyFont="1" applyFill="1" applyBorder="1" applyAlignment="1">
      <alignment vertical="center"/>
    </xf>
    <xf numFmtId="14" fontId="0" fillId="8" borderId="27" xfId="0" applyNumberFormat="1" applyFill="1" applyBorder="1"/>
    <xf numFmtId="14" fontId="0" fillId="8" borderId="27" xfId="1" applyNumberFormat="1" applyFont="1" applyFill="1" applyBorder="1"/>
    <xf numFmtId="0" fontId="3" fillId="8" borderId="0" xfId="0" applyFont="1" applyFill="1" applyAlignment="1">
      <alignment horizontal="right" vertical="center"/>
    </xf>
    <xf numFmtId="14" fontId="0" fillId="8" borderId="3" xfId="0" applyNumberFormat="1" applyFill="1" applyBorder="1"/>
    <xf numFmtId="14" fontId="0" fillId="8" borderId="3" xfId="1" applyNumberFormat="1" applyFont="1" applyFill="1" applyBorder="1"/>
    <xf numFmtId="0" fontId="5" fillId="8" borderId="0" xfId="0" applyFont="1" applyFill="1" applyAlignment="1">
      <alignment horizontal="center"/>
    </xf>
    <xf numFmtId="164" fontId="5" fillId="4" borderId="39" xfId="0" applyNumberFormat="1" applyFont="1" applyFill="1" applyBorder="1" applyAlignment="1">
      <alignment horizontal="center" vertical="center"/>
    </xf>
    <xf numFmtId="49" fontId="5" fillId="6" borderId="61" xfId="0" quotePrefix="1" applyNumberFormat="1" applyFont="1" applyFill="1" applyBorder="1" applyAlignment="1">
      <alignment horizontal="center" vertical="center"/>
    </xf>
    <xf numFmtId="164" fontId="5" fillId="7" borderId="58" xfId="0" applyNumberFormat="1" applyFont="1" applyFill="1" applyBorder="1" applyAlignment="1">
      <alignment horizontal="center" vertical="center"/>
    </xf>
    <xf numFmtId="166" fontId="5" fillId="12" borderId="62" xfId="1" applyNumberFormat="1" applyFont="1" applyFill="1" applyBorder="1" applyAlignment="1">
      <alignment horizontal="center" vertical="center"/>
    </xf>
    <xf numFmtId="14" fontId="5" fillId="10" borderId="0" xfId="0" applyNumberFormat="1" applyFont="1" applyFill="1" applyAlignment="1">
      <alignment horizontal="center" vertical="center" wrapText="1"/>
    </xf>
    <xf numFmtId="14" fontId="5" fillId="11" borderId="11" xfId="0" applyNumberFormat="1" applyFont="1" applyFill="1" applyBorder="1" applyAlignment="1">
      <alignment vertical="center" wrapText="1"/>
    </xf>
    <xf numFmtId="166" fontId="5" fillId="12" borderId="20" xfId="1" applyNumberFormat="1" applyFont="1" applyFill="1" applyBorder="1" applyAlignment="1">
      <alignment horizontal="center" vertical="center"/>
    </xf>
    <xf numFmtId="166" fontId="5" fillId="12" borderId="0" xfId="1" applyNumberFormat="1" applyFont="1" applyFill="1" applyBorder="1" applyAlignment="1">
      <alignment horizontal="center" vertical="center"/>
    </xf>
    <xf numFmtId="166" fontId="5" fillId="0" borderId="0" xfId="1" applyNumberFormat="1" applyFont="1" applyFill="1" applyBorder="1" applyAlignment="1">
      <alignment horizontal="center" vertical="center"/>
    </xf>
    <xf numFmtId="166" fontId="5" fillId="8" borderId="0" xfId="0" quotePrefix="1" applyNumberFormat="1" applyFont="1" applyFill="1" applyAlignment="1">
      <alignment horizontal="center" vertical="center" wrapText="1"/>
    </xf>
    <xf numFmtId="165" fontId="0" fillId="7" borderId="85" xfId="1" applyNumberFormat="1" applyFont="1" applyFill="1" applyBorder="1" applyProtection="1">
      <protection locked="0"/>
    </xf>
    <xf numFmtId="165" fontId="1" fillId="5" borderId="86" xfId="3" applyNumberFormat="1" applyFill="1" applyBorder="1" applyProtection="1">
      <protection locked="0"/>
    </xf>
    <xf numFmtId="16" fontId="3" fillId="8" borderId="11" xfId="0" applyNumberFormat="1" applyFont="1" applyFill="1" applyBorder="1" applyAlignment="1">
      <alignment horizontal="center" vertical="top"/>
    </xf>
    <xf numFmtId="165" fontId="5" fillId="0" borderId="28" xfId="1" applyNumberFormat="1" applyFont="1" applyFill="1" applyBorder="1" applyAlignment="1">
      <alignment horizontal="center" vertical="center"/>
    </xf>
    <xf numFmtId="165" fontId="5" fillId="0" borderId="19" xfId="1" applyNumberFormat="1" applyFont="1" applyFill="1" applyBorder="1" applyAlignment="1">
      <alignment horizontal="center" vertical="center"/>
    </xf>
    <xf numFmtId="165" fontId="5" fillId="0" borderId="34" xfId="1" applyNumberFormat="1" applyFont="1" applyFill="1" applyBorder="1" applyAlignment="1">
      <alignment horizontal="center" vertical="center"/>
    </xf>
    <xf numFmtId="165" fontId="5" fillId="0" borderId="40" xfId="1" applyNumberFormat="1" applyFont="1" applyFill="1" applyBorder="1" applyAlignment="1">
      <alignment horizontal="center" vertical="center"/>
    </xf>
    <xf numFmtId="165" fontId="5" fillId="0" borderId="30" xfId="1" applyNumberFormat="1" applyFont="1" applyFill="1" applyBorder="1" applyAlignment="1">
      <alignment horizontal="center" vertical="center"/>
    </xf>
    <xf numFmtId="165" fontId="5" fillId="0" borderId="59" xfId="1" applyNumberFormat="1" applyFont="1" applyFill="1" applyBorder="1" applyAlignment="1">
      <alignment horizontal="center" vertical="center"/>
    </xf>
    <xf numFmtId="165" fontId="5" fillId="0" borderId="20" xfId="1" applyNumberFormat="1" applyFont="1" applyFill="1" applyBorder="1" applyAlignment="1">
      <alignment horizontal="center" vertical="center"/>
    </xf>
    <xf numFmtId="165" fontId="5" fillId="0" borderId="0" xfId="1" applyNumberFormat="1" applyFont="1" applyFill="1" applyBorder="1" applyAlignment="1">
      <alignment horizontal="center" vertical="center"/>
    </xf>
    <xf numFmtId="165" fontId="0" fillId="0" borderId="0" xfId="1" applyNumberFormat="1" applyFont="1" applyProtection="1">
      <protection locked="0"/>
    </xf>
    <xf numFmtId="165" fontId="0" fillId="0" borderId="87" xfId="1" applyNumberFormat="1" applyFont="1" applyBorder="1" applyProtection="1">
      <protection locked="0"/>
    </xf>
    <xf numFmtId="166" fontId="5" fillId="12" borderId="71" xfId="1" applyNumberFormat="1" applyFont="1" applyFill="1" applyBorder="1" applyAlignment="1">
      <alignment horizontal="center" vertical="center"/>
    </xf>
    <xf numFmtId="49" fontId="5" fillId="4" borderId="44" xfId="0" quotePrefix="1" applyNumberFormat="1" applyFont="1" applyFill="1" applyBorder="1" applyAlignment="1">
      <alignment horizontal="center" vertical="center"/>
    </xf>
    <xf numFmtId="43" fontId="0" fillId="0" borderId="71" xfId="1" applyFont="1" applyBorder="1" applyAlignment="1">
      <alignment wrapText="1"/>
    </xf>
    <xf numFmtId="43" fontId="0" fillId="0" borderId="88" xfId="1" applyFont="1" applyBorder="1" applyAlignment="1">
      <alignment wrapText="1"/>
    </xf>
    <xf numFmtId="165" fontId="0" fillId="0" borderId="55" xfId="1" applyNumberFormat="1" applyFont="1" applyBorder="1" applyProtection="1">
      <protection locked="0"/>
    </xf>
    <xf numFmtId="167" fontId="5" fillId="12" borderId="20" xfId="1" applyNumberFormat="1" applyFont="1" applyFill="1" applyBorder="1" applyAlignment="1">
      <alignment horizontal="center" vertical="center"/>
    </xf>
    <xf numFmtId="167" fontId="5" fillId="0" borderId="11" xfId="1" applyNumberFormat="1" applyFont="1" applyBorder="1"/>
    <xf numFmtId="168" fontId="0" fillId="0" borderId="0" xfId="0" applyNumberFormat="1"/>
    <xf numFmtId="165" fontId="0" fillId="0" borderId="0" xfId="1" applyNumberFormat="1" applyFont="1"/>
    <xf numFmtId="9" fontId="0" fillId="0" borderId="0" xfId="5" applyFont="1"/>
    <xf numFmtId="43" fontId="0" fillId="0" borderId="0" xfId="0" applyNumberFormat="1"/>
    <xf numFmtId="164" fontId="5" fillId="6" borderId="89" xfId="0" applyNumberFormat="1" applyFont="1" applyFill="1" applyBorder="1" applyAlignment="1">
      <alignment horizontal="center" vertical="center"/>
    </xf>
    <xf numFmtId="164" fontId="5" fillId="6" borderId="90" xfId="0" applyNumberFormat="1" applyFont="1" applyFill="1" applyBorder="1" applyAlignment="1">
      <alignment horizontal="center" vertical="center"/>
    </xf>
    <xf numFmtId="164" fontId="5" fillId="6" borderId="91" xfId="0" applyNumberFormat="1" applyFont="1" applyFill="1" applyBorder="1" applyAlignment="1">
      <alignment horizontal="center" vertical="center"/>
    </xf>
    <xf numFmtId="164" fontId="5" fillId="6" borderId="92" xfId="0" applyNumberFormat="1" applyFont="1" applyFill="1" applyBorder="1" applyAlignment="1">
      <alignment horizontal="center" vertical="center"/>
    </xf>
    <xf numFmtId="164" fontId="5" fillId="4" borderId="93" xfId="0" applyNumberFormat="1" applyFont="1" applyFill="1" applyBorder="1" applyAlignment="1">
      <alignment horizontal="center" vertical="center"/>
    </xf>
    <xf numFmtId="164" fontId="5" fillId="4" borderId="90" xfId="0" applyNumberFormat="1" applyFont="1" applyFill="1" applyBorder="1" applyAlignment="1">
      <alignment horizontal="center" vertical="center"/>
    </xf>
    <xf numFmtId="164" fontId="5" fillId="4" borderId="91" xfId="0" applyNumberFormat="1" applyFont="1" applyFill="1" applyBorder="1" applyAlignment="1">
      <alignment horizontal="center" vertical="center"/>
    </xf>
    <xf numFmtId="0" fontId="0" fillId="0" borderId="11" xfId="0" applyBorder="1"/>
    <xf numFmtId="166" fontId="0" fillId="0" borderId="55" xfId="0" applyNumberFormat="1" applyBorder="1"/>
    <xf numFmtId="166" fontId="16" fillId="0" borderId="64" xfId="1" applyNumberFormat="1" applyFont="1" applyBorder="1" applyAlignment="1">
      <alignment horizontal="center" vertical="center"/>
    </xf>
    <xf numFmtId="166" fontId="16" fillId="0" borderId="82" xfId="1" applyNumberFormat="1" applyFont="1" applyBorder="1" applyAlignment="1">
      <alignment horizontal="center" vertical="center"/>
    </xf>
    <xf numFmtId="166" fontId="16" fillId="0" borderId="97" xfId="1" applyNumberFormat="1" applyFont="1" applyBorder="1" applyAlignment="1">
      <alignment horizontal="center" vertical="center"/>
    </xf>
    <xf numFmtId="166" fontId="16" fillId="0" borderId="96" xfId="1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16" fillId="0" borderId="54" xfId="1" applyNumberFormat="1" applyFont="1" applyBorder="1" applyAlignment="1">
      <alignment horizontal="center" vertical="center"/>
    </xf>
    <xf numFmtId="166" fontId="16" fillId="0" borderId="0" xfId="1" applyNumberFormat="1" applyFont="1" applyBorder="1" applyAlignment="1">
      <alignment horizontal="center" vertical="center"/>
    </xf>
    <xf numFmtId="166" fontId="16" fillId="0" borderId="60" xfId="1" applyNumberFormat="1" applyFont="1" applyBorder="1" applyAlignment="1">
      <alignment horizontal="center" vertical="center"/>
    </xf>
    <xf numFmtId="166" fontId="16" fillId="0" borderId="6" xfId="1" applyNumberFormat="1" applyFont="1" applyBorder="1" applyAlignment="1">
      <alignment horizontal="center" vertical="center"/>
    </xf>
    <xf numFmtId="166" fontId="16" fillId="0" borderId="55" xfId="1" applyNumberFormat="1" applyFont="1" applyBorder="1" applyAlignment="1">
      <alignment horizontal="center" vertical="center"/>
    </xf>
    <xf numFmtId="166" fontId="16" fillId="0" borderId="35" xfId="1" applyNumberFormat="1" applyFont="1" applyBorder="1" applyAlignment="1">
      <alignment horizontal="center" vertical="center"/>
    </xf>
    <xf numFmtId="166" fontId="16" fillId="0" borderId="95" xfId="1" applyNumberFormat="1" applyFont="1" applyBorder="1" applyAlignment="1">
      <alignment horizontal="center" vertical="center"/>
    </xf>
    <xf numFmtId="166" fontId="16" fillId="0" borderId="53" xfId="1" applyNumberFormat="1" applyFon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54" xfId="0" applyNumberFormat="1" applyBorder="1" applyAlignment="1">
      <alignment horizontal="center" vertical="center"/>
    </xf>
    <xf numFmtId="166" fontId="2" fillId="0" borderId="66" xfId="0" applyNumberFormat="1" applyFont="1" applyBorder="1" applyAlignment="1">
      <alignment horizontal="right" vertical="center"/>
    </xf>
    <xf numFmtId="166" fontId="2" fillId="0" borderId="67" xfId="0" applyNumberFormat="1" applyFont="1" applyBorder="1" applyAlignment="1">
      <alignment horizontal="right" vertical="center"/>
    </xf>
    <xf numFmtId="166" fontId="0" fillId="0" borderId="11" xfId="0" applyNumberForma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4" fillId="0" borderId="0" xfId="0" applyFont="1" applyAlignment="1">
      <alignment vertical="center"/>
    </xf>
    <xf numFmtId="14" fontId="5" fillId="10" borderId="54" xfId="0" applyNumberFormat="1" applyFont="1" applyFill="1" applyBorder="1" applyAlignment="1">
      <alignment horizontal="center" vertical="center" wrapText="1"/>
    </xf>
    <xf numFmtId="0" fontId="15" fillId="16" borderId="0" xfId="0" applyFont="1" applyFill="1" applyAlignment="1">
      <alignment horizontal="center" vertical="center"/>
    </xf>
    <xf numFmtId="0" fontId="0" fillId="18" borderId="0" xfId="0" applyFill="1"/>
    <xf numFmtId="0" fontId="0" fillId="0" borderId="98" xfId="0" applyBorder="1"/>
    <xf numFmtId="43" fontId="13" fillId="0" borderId="0" xfId="1" applyFont="1" applyAlignment="1">
      <alignment vertical="center"/>
    </xf>
    <xf numFmtId="43" fontId="11" fillId="0" borderId="0" xfId="1" applyFont="1"/>
    <xf numFmtId="43" fontId="12" fillId="0" borderId="0" xfId="1" applyFont="1" applyAlignment="1">
      <alignment vertical="center"/>
    </xf>
    <xf numFmtId="43" fontId="13" fillId="0" borderId="0" xfId="1" applyFont="1" applyAlignment="1">
      <alignment horizontal="right" vertical="center"/>
    </xf>
    <xf numFmtId="0" fontId="18" fillId="17" borderId="103" xfId="0" applyFont="1" applyFill="1" applyBorder="1"/>
    <xf numFmtId="0" fontId="0" fillId="18" borderId="103" xfId="0" applyFill="1" applyBorder="1"/>
    <xf numFmtId="165" fontId="13" fillId="23" borderId="80" xfId="1" applyNumberFormat="1" applyFont="1" applyFill="1" applyBorder="1" applyAlignment="1">
      <alignment vertical="center"/>
    </xf>
    <xf numFmtId="165" fontId="13" fillId="23" borderId="81" xfId="1" applyNumberFormat="1" applyFont="1" applyFill="1" applyBorder="1" applyAlignment="1">
      <alignment vertical="center"/>
    </xf>
    <xf numFmtId="165" fontId="13" fillId="23" borderId="73" xfId="1" applyNumberFormat="1" applyFont="1" applyFill="1" applyBorder="1" applyAlignment="1">
      <alignment vertical="center"/>
    </xf>
    <xf numFmtId="43" fontId="0" fillId="0" borderId="0" xfId="1" applyFont="1" applyAlignment="1">
      <alignment horizontal="left" vertical="top"/>
    </xf>
    <xf numFmtId="0" fontId="0" fillId="14" borderId="77" xfId="0" applyFill="1" applyBorder="1"/>
    <xf numFmtId="0" fontId="0" fillId="15" borderId="77" xfId="0" applyFill="1" applyBorder="1"/>
    <xf numFmtId="4" fontId="19" fillId="14" borderId="77" xfId="0" applyNumberFormat="1" applyFont="1" applyFill="1" applyBorder="1" applyAlignment="1">
      <alignment vertical="center"/>
    </xf>
    <xf numFmtId="0" fontId="19" fillId="15" borderId="77" xfId="0" applyFont="1" applyFill="1" applyBorder="1" applyAlignment="1">
      <alignment horizontal="right" vertical="center"/>
    </xf>
    <xf numFmtId="0" fontId="0" fillId="15" borderId="79" xfId="0" applyFill="1" applyBorder="1"/>
    <xf numFmtId="0" fontId="15" fillId="13" borderId="75" xfId="0" applyFont="1" applyFill="1" applyBorder="1" applyAlignment="1">
      <alignment vertical="center"/>
    </xf>
    <xf numFmtId="0" fontId="15" fillId="13" borderId="76" xfId="0" applyFont="1" applyFill="1" applyBorder="1" applyAlignment="1">
      <alignment vertical="center"/>
    </xf>
    <xf numFmtId="0" fontId="15" fillId="13" borderId="0" xfId="0" applyFont="1" applyFill="1" applyAlignment="1">
      <alignment vertical="center"/>
    </xf>
    <xf numFmtId="43" fontId="0" fillId="14" borderId="104" xfId="1" applyFont="1" applyFill="1" applyBorder="1"/>
    <xf numFmtId="43" fontId="0" fillId="15" borderId="105" xfId="1" applyFont="1" applyFill="1" applyBorder="1"/>
    <xf numFmtId="43" fontId="0" fillId="14" borderId="105" xfId="1" applyFont="1" applyFill="1" applyBorder="1"/>
    <xf numFmtId="43" fontId="19" fillId="14" borderId="105" xfId="1" applyFont="1" applyFill="1" applyBorder="1" applyAlignment="1">
      <alignment vertical="center"/>
    </xf>
    <xf numFmtId="43" fontId="19" fillId="15" borderId="105" xfId="1" applyFont="1" applyFill="1" applyBorder="1" applyAlignment="1">
      <alignment vertical="center"/>
    </xf>
    <xf numFmtId="43" fontId="0" fillId="15" borderId="106" xfId="1" applyFont="1" applyFill="1" applyBorder="1"/>
    <xf numFmtId="165" fontId="0" fillId="14" borderId="77" xfId="1" applyNumberFormat="1" applyFont="1" applyFill="1" applyBorder="1"/>
    <xf numFmtId="165" fontId="0" fillId="14" borderId="107" xfId="1" applyNumberFormat="1" applyFont="1" applyFill="1" applyBorder="1"/>
    <xf numFmtId="165" fontId="0" fillId="15" borderId="108" xfId="1" applyNumberFormat="1" applyFont="1" applyFill="1" applyBorder="1"/>
    <xf numFmtId="165" fontId="0" fillId="14" borderId="108" xfId="1" applyNumberFormat="1" applyFont="1" applyFill="1" applyBorder="1"/>
    <xf numFmtId="165" fontId="19" fillId="14" borderId="108" xfId="1" applyNumberFormat="1" applyFont="1" applyFill="1" applyBorder="1" applyAlignment="1">
      <alignment vertical="center"/>
    </xf>
    <xf numFmtId="165" fontId="19" fillId="15" borderId="108" xfId="1" applyNumberFormat="1" applyFont="1" applyFill="1" applyBorder="1" applyAlignment="1">
      <alignment vertical="center"/>
    </xf>
    <xf numFmtId="165" fontId="0" fillId="15" borderId="109" xfId="1" applyNumberFormat="1" applyFont="1" applyFill="1" applyBorder="1"/>
    <xf numFmtId="165" fontId="0" fillId="14" borderId="78" xfId="1" applyNumberFormat="1" applyFont="1" applyFill="1" applyBorder="1"/>
    <xf numFmtId="165" fontId="0" fillId="15" borderId="78" xfId="1" applyNumberFormat="1" applyFont="1" applyFill="1" applyBorder="1"/>
    <xf numFmtId="165" fontId="19" fillId="14" borderId="78" xfId="1" applyNumberFormat="1" applyFont="1" applyFill="1" applyBorder="1" applyAlignment="1">
      <alignment vertical="center"/>
    </xf>
    <xf numFmtId="165" fontId="19" fillId="15" borderId="78" xfId="1" applyNumberFormat="1" applyFont="1" applyFill="1" applyBorder="1" applyAlignment="1">
      <alignment vertical="center"/>
    </xf>
    <xf numFmtId="165" fontId="0" fillId="15" borderId="0" xfId="1" applyNumberFormat="1" applyFont="1" applyFill="1" applyBorder="1"/>
    <xf numFmtId="165" fontId="0" fillId="21" borderId="99" xfId="1" applyNumberFormat="1" applyFont="1" applyFill="1" applyBorder="1"/>
    <xf numFmtId="165" fontId="0" fillId="21" borderId="100" xfId="1" applyNumberFormat="1" applyFont="1" applyFill="1" applyBorder="1"/>
    <xf numFmtId="165" fontId="0" fillId="20" borderId="99" xfId="1" applyNumberFormat="1" applyFont="1" applyFill="1" applyBorder="1"/>
    <xf numFmtId="165" fontId="0" fillId="20" borderId="100" xfId="1" applyNumberFormat="1" applyFont="1" applyFill="1" applyBorder="1"/>
    <xf numFmtId="0" fontId="0" fillId="18" borderId="103" xfId="0" applyFill="1" applyBorder="1" applyAlignment="1">
      <alignment horizontal="left" vertical="top"/>
    </xf>
    <xf numFmtId="165" fontId="0" fillId="18" borderId="103" xfId="1" applyNumberFormat="1" applyFont="1" applyFill="1" applyBorder="1" applyAlignment="1">
      <alignment horizontal="left" vertical="top"/>
    </xf>
    <xf numFmtId="165" fontId="0" fillId="18" borderId="0" xfId="1" applyNumberFormat="1" applyFont="1" applyFill="1"/>
    <xf numFmtId="165" fontId="0" fillId="18" borderId="103" xfId="1" applyNumberFormat="1" applyFont="1" applyFill="1" applyBorder="1"/>
    <xf numFmtId="0" fontId="18" fillId="19" borderId="101" xfId="0" applyFont="1" applyFill="1" applyBorder="1" applyAlignment="1">
      <alignment horizontal="center" vertical="center" wrapText="1"/>
    </xf>
    <xf numFmtId="0" fontId="18" fillId="19" borderId="102" xfId="0" applyFont="1" applyFill="1" applyBorder="1" applyAlignment="1">
      <alignment horizontal="center" vertical="center" wrapText="1"/>
    </xf>
    <xf numFmtId="0" fontId="2" fillId="22" borderId="101" xfId="0" applyFont="1" applyFill="1" applyBorder="1" applyAlignment="1">
      <alignment horizontal="center" vertical="center"/>
    </xf>
    <xf numFmtId="49" fontId="5" fillId="8" borderId="5" xfId="0" quotePrefix="1" applyNumberFormat="1" applyFont="1" applyFill="1" applyBorder="1" applyAlignment="1">
      <alignment horizontal="center" vertical="center"/>
    </xf>
    <xf numFmtId="166" fontId="5" fillId="0" borderId="62" xfId="1" applyNumberFormat="1" applyFont="1" applyFill="1" applyBorder="1" applyAlignment="1">
      <alignment horizontal="center" vertical="center"/>
    </xf>
    <xf numFmtId="165" fontId="7" fillId="6" borderId="110" xfId="1" applyNumberFormat="1" applyFont="1" applyFill="1" applyBorder="1" applyProtection="1">
      <protection locked="0"/>
    </xf>
    <xf numFmtId="165" fontId="7" fillId="6" borderId="71" xfId="1" applyNumberFormat="1" applyFont="1" applyFill="1" applyBorder="1" applyProtection="1">
      <protection locked="0"/>
    </xf>
    <xf numFmtId="49" fontId="5" fillId="0" borderId="44" xfId="0" applyNumberFormat="1" applyFont="1" applyBorder="1" applyAlignment="1">
      <alignment horizontal="center" vertical="center"/>
    </xf>
    <xf numFmtId="166" fontId="5" fillId="0" borderId="54" xfId="1" applyNumberFormat="1" applyFont="1" applyFill="1" applyBorder="1" applyAlignment="1">
      <alignment horizontal="center" vertical="center"/>
    </xf>
    <xf numFmtId="165" fontId="7" fillId="0" borderId="55" xfId="1" applyNumberFormat="1" applyFont="1" applyBorder="1" applyProtection="1">
      <protection locked="0"/>
    </xf>
    <xf numFmtId="0" fontId="5" fillId="0" borderId="1" xfId="0" applyFont="1" applyBorder="1" applyAlignment="1">
      <alignment horizontal="center" vertical="center"/>
    </xf>
    <xf numFmtId="166" fontId="5" fillId="0" borderId="20" xfId="1" applyNumberFormat="1" applyFont="1" applyFill="1" applyBorder="1" applyAlignment="1">
      <alignment horizontal="center" vertical="center"/>
    </xf>
    <xf numFmtId="165" fontId="0" fillId="7" borderId="110" xfId="1" applyNumberFormat="1" applyFont="1" applyFill="1" applyBorder="1" applyProtection="1">
      <protection locked="0"/>
    </xf>
    <xf numFmtId="165" fontId="1" fillId="6" borderId="111" xfId="2" applyNumberFormat="1" applyFill="1" applyBorder="1" applyProtection="1">
      <protection locked="0"/>
    </xf>
    <xf numFmtId="165" fontId="1" fillId="6" borderId="54" xfId="2" applyNumberFormat="1" applyFill="1" applyBorder="1" applyProtection="1">
      <protection locked="0"/>
    </xf>
    <xf numFmtId="165" fontId="1" fillId="6" borderId="112" xfId="2" applyNumberFormat="1" applyFill="1" applyBorder="1" applyProtection="1">
      <protection locked="0"/>
    </xf>
    <xf numFmtId="165" fontId="1" fillId="5" borderId="54" xfId="3" applyNumberFormat="1" applyFill="1" applyBorder="1" applyProtection="1">
      <protection locked="0"/>
    </xf>
    <xf numFmtId="49" fontId="5" fillId="0" borderId="56" xfId="0" applyNumberFormat="1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0" fontId="0" fillId="0" borderId="23" xfId="0" applyBorder="1" applyProtection="1">
      <protection locked="0"/>
    </xf>
    <xf numFmtId="0" fontId="12" fillId="24" borderId="62" xfId="0" applyFont="1" applyFill="1" applyBorder="1" applyAlignment="1">
      <alignment vertical="center"/>
    </xf>
    <xf numFmtId="165" fontId="13" fillId="23" borderId="1" xfId="1" applyNumberFormat="1" applyFont="1" applyFill="1" applyBorder="1" applyAlignment="1">
      <alignment vertical="center"/>
    </xf>
    <xf numFmtId="0" fontId="22" fillId="0" borderId="39" xfId="0" applyFont="1" applyBorder="1"/>
    <xf numFmtId="0" fontId="22" fillId="0" borderId="4" xfId="0" applyFont="1" applyBorder="1"/>
    <xf numFmtId="0" fontId="22" fillId="0" borderId="14" xfId="0" applyFont="1" applyBorder="1"/>
    <xf numFmtId="0" fontId="22" fillId="0" borderId="0" xfId="0" applyFont="1"/>
    <xf numFmtId="0" fontId="22" fillId="0" borderId="71" xfId="0" applyFont="1" applyBorder="1"/>
    <xf numFmtId="0" fontId="23" fillId="0" borderId="0" xfId="0" applyFont="1" applyAlignment="1">
      <alignment vertical="top"/>
    </xf>
    <xf numFmtId="0" fontId="23" fillId="0" borderId="0" xfId="0" applyFont="1"/>
    <xf numFmtId="0" fontId="22" fillId="0" borderId="18" xfId="0" applyFont="1" applyBorder="1"/>
    <xf numFmtId="0" fontId="22" fillId="0" borderId="133" xfId="0" applyFont="1" applyBorder="1"/>
    <xf numFmtId="165" fontId="22" fillId="0" borderId="18" xfId="1" applyNumberFormat="1" applyFont="1" applyFill="1" applyBorder="1"/>
    <xf numFmtId="165" fontId="22" fillId="0" borderId="125" xfId="1" applyNumberFormat="1" applyFont="1" applyFill="1" applyBorder="1"/>
    <xf numFmtId="0" fontId="22" fillId="24" borderId="62" xfId="0" applyFont="1" applyFill="1" applyBorder="1"/>
    <xf numFmtId="0" fontId="23" fillId="0" borderId="123" xfId="0" applyFont="1" applyBorder="1"/>
    <xf numFmtId="165" fontId="22" fillId="0" borderId="123" xfId="1" applyNumberFormat="1" applyFont="1" applyBorder="1"/>
    <xf numFmtId="165" fontId="22" fillId="0" borderId="118" xfId="1" applyNumberFormat="1" applyFont="1" applyBorder="1"/>
    <xf numFmtId="165" fontId="22" fillId="26" borderId="116" xfId="1" applyNumberFormat="1" applyFont="1" applyFill="1" applyBorder="1"/>
    <xf numFmtId="165" fontId="22" fillId="26" borderId="115" xfId="1" applyNumberFormat="1" applyFont="1" applyFill="1" applyBorder="1"/>
    <xf numFmtId="165" fontId="22" fillId="0" borderId="116" xfId="1" applyNumberFormat="1" applyFont="1" applyBorder="1"/>
    <xf numFmtId="165" fontId="22" fillId="0" borderId="115" xfId="1" applyNumberFormat="1" applyFont="1" applyBorder="1"/>
    <xf numFmtId="165" fontId="22" fillId="0" borderId="124" xfId="1" applyNumberFormat="1" applyFont="1" applyBorder="1"/>
    <xf numFmtId="165" fontId="22" fillId="0" borderId="117" xfId="1" applyNumberFormat="1" applyFont="1" applyBorder="1"/>
    <xf numFmtId="165" fontId="22" fillId="27" borderId="120" xfId="1" applyNumberFormat="1" applyFont="1" applyFill="1" applyBorder="1"/>
    <xf numFmtId="165" fontId="22" fillId="0" borderId="120" xfId="1" applyNumberFormat="1" applyFont="1" applyBorder="1"/>
    <xf numFmtId="0" fontId="21" fillId="17" borderId="103" xfId="0" applyFont="1" applyFill="1" applyBorder="1"/>
    <xf numFmtId="0" fontId="22" fillId="18" borderId="0" xfId="0" applyFont="1" applyFill="1"/>
    <xf numFmtId="0" fontId="22" fillId="0" borderId="72" xfId="0" applyFont="1" applyBorder="1"/>
    <xf numFmtId="0" fontId="22" fillId="0" borderId="5" xfId="0" applyFont="1" applyBorder="1"/>
    <xf numFmtId="0" fontId="22" fillId="0" borderId="2" xfId="0" applyFont="1" applyBorder="1"/>
    <xf numFmtId="165" fontId="22" fillId="0" borderId="140" xfId="1" applyNumberFormat="1" applyFont="1" applyBorder="1"/>
    <xf numFmtId="165" fontId="17" fillId="0" borderId="140" xfId="1" applyNumberFormat="1" applyFont="1" applyBorder="1"/>
    <xf numFmtId="0" fontId="22" fillId="0" borderId="142" xfId="0" applyFont="1" applyBorder="1"/>
    <xf numFmtId="0" fontId="22" fillId="0" borderId="143" xfId="0" applyFont="1" applyBorder="1"/>
    <xf numFmtId="0" fontId="22" fillId="0" borderId="144" xfId="0" applyFont="1" applyBorder="1"/>
    <xf numFmtId="0" fontId="21" fillId="25" borderId="136" xfId="0" applyFont="1" applyFill="1" applyBorder="1" applyAlignment="1">
      <alignment horizontal="center" vertical="center" wrapText="1"/>
    </xf>
    <xf numFmtId="0" fontId="21" fillId="25" borderId="119" xfId="0" applyFont="1" applyFill="1" applyBorder="1" applyAlignment="1">
      <alignment horizontal="center" vertical="center" wrapText="1"/>
    </xf>
    <xf numFmtId="0" fontId="21" fillId="25" borderId="137" xfId="0" applyFont="1" applyFill="1" applyBorder="1" applyAlignment="1">
      <alignment horizontal="center" vertical="center" wrapText="1"/>
    </xf>
    <xf numFmtId="165" fontId="13" fillId="23" borderId="22" xfId="1" applyNumberFormat="1" applyFont="1" applyFill="1" applyBorder="1" applyAlignment="1">
      <alignment vertical="center"/>
    </xf>
    <xf numFmtId="0" fontId="22" fillId="0" borderId="126" xfId="0" applyFont="1" applyBorder="1"/>
    <xf numFmtId="0" fontId="22" fillId="26" borderId="127" xfId="0" applyFont="1" applyFill="1" applyBorder="1"/>
    <xf numFmtId="0" fontId="22" fillId="0" borderId="127" xfId="0" applyFont="1" applyBorder="1"/>
    <xf numFmtId="0" fontId="22" fillId="0" borderId="128" xfId="0" applyFont="1" applyBorder="1"/>
    <xf numFmtId="165" fontId="13" fillId="23" borderId="52" xfId="1" applyNumberFormat="1" applyFont="1" applyFill="1" applyBorder="1" applyAlignment="1">
      <alignment vertical="center"/>
    </xf>
    <xf numFmtId="165" fontId="22" fillId="27" borderId="121" xfId="1" applyNumberFormat="1" applyFont="1" applyFill="1" applyBorder="1"/>
    <xf numFmtId="165" fontId="22" fillId="0" borderId="121" xfId="1" applyNumberFormat="1" applyFont="1" applyBorder="1"/>
    <xf numFmtId="0" fontId="22" fillId="27" borderId="146" xfId="0" applyFont="1" applyFill="1" applyBorder="1"/>
    <xf numFmtId="0" fontId="22" fillId="0" borderId="146" xfId="0" applyFont="1" applyBorder="1"/>
    <xf numFmtId="0" fontId="22" fillId="27" borderId="148" xfId="0" applyFont="1" applyFill="1" applyBorder="1"/>
    <xf numFmtId="165" fontId="22" fillId="27" borderId="151" xfId="1" applyNumberFormat="1" applyFont="1" applyFill="1" applyBorder="1"/>
    <xf numFmtId="165" fontId="22" fillId="27" borderId="150" xfId="1" applyNumberFormat="1" applyFont="1" applyFill="1" applyBorder="1"/>
    <xf numFmtId="0" fontId="22" fillId="0" borderId="157" xfId="0" applyFont="1" applyBorder="1"/>
    <xf numFmtId="0" fontId="21" fillId="17" borderId="158" xfId="0" applyFont="1" applyFill="1" applyBorder="1"/>
    <xf numFmtId="0" fontId="22" fillId="18" borderId="158" xfId="0" applyFont="1" applyFill="1" applyBorder="1" applyAlignment="1">
      <alignment horizontal="left" vertical="top"/>
    </xf>
    <xf numFmtId="0" fontId="22" fillId="0" borderId="159" xfId="0" applyFont="1" applyBorder="1"/>
    <xf numFmtId="0" fontId="22" fillId="18" borderId="159" xfId="0" applyFont="1" applyFill="1" applyBorder="1"/>
    <xf numFmtId="0" fontId="22" fillId="0" borderId="160" xfId="0" applyFont="1" applyBorder="1"/>
    <xf numFmtId="165" fontId="22" fillId="18" borderId="158" xfId="1" applyNumberFormat="1" applyFont="1" applyFill="1" applyBorder="1" applyAlignment="1">
      <alignment horizontal="left" vertical="top"/>
    </xf>
    <xf numFmtId="165" fontId="22" fillId="0" borderId="159" xfId="1" applyNumberFormat="1" applyFont="1" applyBorder="1"/>
    <xf numFmtId="165" fontId="22" fillId="18" borderId="159" xfId="1" applyNumberFormat="1" applyFont="1" applyFill="1" applyBorder="1"/>
    <xf numFmtId="0" fontId="20" fillId="0" borderId="3" xfId="0" applyFont="1" applyBorder="1" applyAlignment="1">
      <alignment vertical="center"/>
    </xf>
    <xf numFmtId="16" fontId="20" fillId="8" borderId="3" xfId="0" applyNumberFormat="1" applyFont="1" applyFill="1" applyBorder="1" applyAlignment="1">
      <alignment vertical="center"/>
    </xf>
    <xf numFmtId="0" fontId="22" fillId="21" borderId="163" xfId="0" applyFont="1" applyFill="1" applyBorder="1"/>
    <xf numFmtId="0" fontId="22" fillId="0" borderId="163" xfId="0" applyFont="1" applyBorder="1"/>
    <xf numFmtId="0" fontId="22" fillId="21" borderId="141" xfId="0" applyFont="1" applyFill="1" applyBorder="1"/>
    <xf numFmtId="165" fontId="22" fillId="21" borderId="164" xfId="1" applyNumberFormat="1" applyFont="1" applyFill="1" applyBorder="1"/>
    <xf numFmtId="165" fontId="22" fillId="0" borderId="164" xfId="1" applyNumberFormat="1" applyFont="1" applyBorder="1"/>
    <xf numFmtId="165" fontId="22" fillId="21" borderId="165" xfId="1" applyNumberFormat="1" applyFont="1" applyFill="1" applyBorder="1"/>
    <xf numFmtId="0" fontId="22" fillId="21" borderId="166" xfId="0" applyFont="1" applyFill="1" applyBorder="1"/>
    <xf numFmtId="165" fontId="22" fillId="21" borderId="167" xfId="1" applyNumberFormat="1" applyFont="1" applyFill="1" applyBorder="1"/>
    <xf numFmtId="0" fontId="22" fillId="0" borderId="163" xfId="0" applyFont="1" applyBorder="1" applyAlignment="1">
      <alignment wrapText="1"/>
    </xf>
    <xf numFmtId="165" fontId="12" fillId="23" borderId="3" xfId="1" applyNumberFormat="1" applyFont="1" applyFill="1" applyBorder="1" applyAlignment="1">
      <alignment vertical="center"/>
    </xf>
    <xf numFmtId="165" fontId="12" fillId="23" borderId="22" xfId="1" applyNumberFormat="1" applyFont="1" applyFill="1" applyBorder="1" applyAlignment="1">
      <alignment vertical="center"/>
    </xf>
    <xf numFmtId="0" fontId="24" fillId="0" borderId="0" xfId="0" applyFont="1"/>
    <xf numFmtId="0" fontId="21" fillId="19" borderId="132" xfId="0" applyFont="1" applyFill="1" applyBorder="1" applyAlignment="1">
      <alignment horizontal="center" vertical="center" wrapText="1"/>
    </xf>
    <xf numFmtId="0" fontId="21" fillId="19" borderId="154" xfId="0" applyFont="1" applyFill="1" applyBorder="1" applyAlignment="1">
      <alignment horizontal="center" vertical="center" wrapText="1"/>
    </xf>
    <xf numFmtId="0" fontId="21" fillId="19" borderId="155" xfId="0" applyFont="1" applyFill="1" applyBorder="1" applyAlignment="1">
      <alignment horizontal="center" vertical="center" wrapText="1"/>
    </xf>
    <xf numFmtId="0" fontId="17" fillId="0" borderId="142" xfId="0" applyFont="1" applyBorder="1"/>
    <xf numFmtId="0" fontId="22" fillId="29" borderId="174" xfId="0" applyFont="1" applyFill="1" applyBorder="1"/>
    <xf numFmtId="0" fontId="22" fillId="0" borderId="174" xfId="0" applyFont="1" applyBorder="1"/>
    <xf numFmtId="0" fontId="22" fillId="0" borderId="162" xfId="0" applyFont="1" applyBorder="1"/>
    <xf numFmtId="0" fontId="22" fillId="29" borderId="159" xfId="0" applyFont="1" applyFill="1" applyBorder="1"/>
    <xf numFmtId="0" fontId="21" fillId="28" borderId="176" xfId="0" applyFont="1" applyFill="1" applyBorder="1"/>
    <xf numFmtId="0" fontId="22" fillId="18" borderId="159" xfId="0" applyFont="1" applyFill="1" applyBorder="1" applyAlignment="1">
      <alignment wrapText="1"/>
    </xf>
    <xf numFmtId="0" fontId="22" fillId="18" borderId="0" xfId="0" applyFont="1" applyFill="1" applyAlignment="1">
      <alignment wrapText="1"/>
    </xf>
    <xf numFmtId="165" fontId="7" fillId="0" borderId="38" xfId="1" applyNumberFormat="1" applyFont="1" applyBorder="1" applyAlignment="1" applyProtection="1">
      <alignment wrapText="1"/>
      <protection locked="0"/>
    </xf>
    <xf numFmtId="165" fontId="7" fillId="0" borderId="71" xfId="1" applyNumberFormat="1" applyFont="1" applyFill="1" applyBorder="1" applyAlignment="1" applyProtection="1">
      <alignment wrapText="1"/>
      <protection locked="0"/>
    </xf>
    <xf numFmtId="165" fontId="22" fillId="0" borderId="138" xfId="1" applyNumberFormat="1" applyFont="1" applyFill="1" applyBorder="1"/>
    <xf numFmtId="0" fontId="22" fillId="0" borderId="183" xfId="0" applyFont="1" applyBorder="1"/>
    <xf numFmtId="0" fontId="22" fillId="0" borderId="138" xfId="0" applyFont="1" applyBorder="1"/>
    <xf numFmtId="0" fontId="22" fillId="27" borderId="147" xfId="0" applyFont="1" applyFill="1" applyBorder="1"/>
    <xf numFmtId="165" fontId="22" fillId="27" borderId="130" xfId="1" applyNumberFormat="1" applyFont="1" applyFill="1" applyBorder="1"/>
    <xf numFmtId="165" fontId="22" fillId="27" borderId="129" xfId="1" applyNumberFormat="1" applyFont="1" applyFill="1" applyBorder="1"/>
    <xf numFmtId="1" fontId="9" fillId="0" borderId="0" xfId="4" applyNumberFormat="1"/>
    <xf numFmtId="14" fontId="9" fillId="0" borderId="0" xfId="4" applyNumberFormat="1"/>
    <xf numFmtId="165" fontId="0" fillId="0" borderId="71" xfId="1" applyNumberFormat="1" applyFont="1" applyBorder="1" applyProtection="1">
      <protection locked="0"/>
    </xf>
    <xf numFmtId="166" fontId="10" fillId="0" borderId="12" xfId="1" applyNumberFormat="1" applyFont="1" applyBorder="1" applyAlignment="1">
      <alignment horizontal="center" vertical="center"/>
    </xf>
    <xf numFmtId="166" fontId="5" fillId="12" borderId="54" xfId="1" applyNumberFormat="1" applyFont="1" applyFill="1" applyBorder="1" applyAlignment="1">
      <alignment horizontal="center" vertical="center"/>
    </xf>
    <xf numFmtId="165" fontId="0" fillId="0" borderId="54" xfId="1" applyNumberFormat="1" applyFont="1" applyFill="1" applyBorder="1"/>
    <xf numFmtId="165" fontId="0" fillId="0" borderId="54" xfId="1" applyNumberFormat="1" applyFont="1" applyFill="1" applyBorder="1" applyProtection="1">
      <protection locked="0"/>
    </xf>
    <xf numFmtId="0" fontId="21" fillId="30" borderId="189" xfId="0" applyFont="1" applyFill="1" applyBorder="1"/>
    <xf numFmtId="165" fontId="22" fillId="31" borderId="190" xfId="1" applyNumberFormat="1" applyFont="1" applyFill="1" applyBorder="1"/>
    <xf numFmtId="165" fontId="22" fillId="0" borderId="190" xfId="1" applyNumberFormat="1" applyFont="1" applyBorder="1"/>
    <xf numFmtId="165" fontId="17" fillId="31" borderId="190" xfId="1" applyNumberFormat="1" applyFont="1" applyFill="1" applyBorder="1"/>
    <xf numFmtId="0" fontId="12" fillId="8" borderId="0" xfId="0" applyFont="1" applyFill="1" applyAlignment="1">
      <alignment vertical="center"/>
    </xf>
    <xf numFmtId="0" fontId="22" fillId="8" borderId="0" xfId="0" applyFont="1" applyFill="1"/>
    <xf numFmtId="0" fontId="2" fillId="0" borderId="94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0" fontId="2" fillId="0" borderId="94" xfId="0" applyFont="1" applyBorder="1" applyAlignment="1">
      <alignment horizontal="right" vertical="center"/>
    </xf>
    <xf numFmtId="0" fontId="2" fillId="0" borderId="67" xfId="0" applyFont="1" applyBorder="1" applyAlignment="1">
      <alignment horizontal="right" vertical="center"/>
    </xf>
    <xf numFmtId="0" fontId="17" fillId="0" borderId="94" xfId="0" applyFont="1" applyBorder="1" applyAlignment="1">
      <alignment horizontal="center" vertical="center"/>
    </xf>
    <xf numFmtId="0" fontId="17" fillId="0" borderId="66" xfId="0" applyFont="1" applyBorder="1" applyAlignment="1">
      <alignment horizontal="center" vertical="center"/>
    </xf>
    <xf numFmtId="0" fontId="17" fillId="0" borderId="67" xfId="0" applyFont="1" applyBorder="1" applyAlignment="1">
      <alignment horizontal="center" vertical="center"/>
    </xf>
    <xf numFmtId="49" fontId="2" fillId="8" borderId="3" xfId="0" quotePrefix="1" applyNumberFormat="1" applyFont="1" applyFill="1" applyBorder="1" applyAlignment="1">
      <alignment horizontal="center"/>
    </xf>
    <xf numFmtId="43" fontId="0" fillId="8" borderId="27" xfId="1" applyFont="1" applyFill="1" applyBorder="1" applyAlignment="1">
      <alignment horizontal="left"/>
    </xf>
    <xf numFmtId="43" fontId="0" fillId="8" borderId="3" xfId="1" applyFont="1" applyFill="1" applyBorder="1" applyAlignment="1">
      <alignment horizontal="left"/>
    </xf>
    <xf numFmtId="14" fontId="5" fillId="10" borderId="83" xfId="0" applyNumberFormat="1" applyFont="1" applyFill="1" applyBorder="1" applyAlignment="1">
      <alignment horizontal="center" vertical="center" wrapText="1"/>
    </xf>
    <xf numFmtId="14" fontId="5" fillId="10" borderId="1" xfId="0" applyNumberFormat="1" applyFont="1" applyFill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166" fontId="5" fillId="0" borderId="12" xfId="1" applyNumberFormat="1" applyFont="1" applyBorder="1" applyAlignment="1">
      <alignment horizontal="center" vertical="center"/>
    </xf>
    <xf numFmtId="166" fontId="5" fillId="0" borderId="7" xfId="1" applyNumberFormat="1" applyFont="1" applyBorder="1" applyAlignment="1">
      <alignment horizontal="center" vertical="center"/>
    </xf>
    <xf numFmtId="166" fontId="5" fillId="0" borderId="8" xfId="1" applyNumberFormat="1" applyFont="1" applyBorder="1" applyAlignment="1">
      <alignment horizontal="center" vertical="center"/>
    </xf>
    <xf numFmtId="166" fontId="5" fillId="0" borderId="12" xfId="1" applyNumberFormat="1" applyFont="1" applyBorder="1" applyAlignment="1">
      <alignment horizontal="center"/>
    </xf>
    <xf numFmtId="166" fontId="5" fillId="0" borderId="7" xfId="1" applyNumberFormat="1" applyFont="1" applyBorder="1" applyAlignment="1">
      <alignment horizontal="center"/>
    </xf>
    <xf numFmtId="166" fontId="5" fillId="0" borderId="8" xfId="1" applyNumberFormat="1" applyFont="1" applyBorder="1" applyAlignment="1">
      <alignment horizontal="center"/>
    </xf>
    <xf numFmtId="0" fontId="5" fillId="11" borderId="12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14" fontId="5" fillId="10" borderId="113" xfId="0" applyNumberFormat="1" applyFont="1" applyFill="1" applyBorder="1" applyAlignment="1">
      <alignment horizontal="center" vertical="center" wrapText="1"/>
    </xf>
    <xf numFmtId="14" fontId="5" fillId="10" borderId="23" xfId="0" applyNumberFormat="1" applyFont="1" applyFill="1" applyBorder="1" applyAlignment="1">
      <alignment horizontal="center" vertical="center" wrapText="1"/>
    </xf>
    <xf numFmtId="14" fontId="5" fillId="10" borderId="114" xfId="0" applyNumberFormat="1" applyFont="1" applyFill="1" applyBorder="1" applyAlignment="1">
      <alignment horizontal="center" vertical="center" wrapText="1"/>
    </xf>
    <xf numFmtId="14" fontId="5" fillId="10" borderId="84" xfId="0" applyNumberFormat="1" applyFont="1" applyFill="1" applyBorder="1" applyAlignment="1">
      <alignment horizontal="center" vertical="center" wrapText="1"/>
    </xf>
    <xf numFmtId="14" fontId="5" fillId="10" borderId="18" xfId="0" applyNumberFormat="1" applyFont="1" applyFill="1" applyBorder="1" applyAlignment="1">
      <alignment horizontal="center" vertical="center" wrapText="1"/>
    </xf>
    <xf numFmtId="14" fontId="5" fillId="10" borderId="24" xfId="0" applyNumberFormat="1" applyFont="1" applyFill="1" applyBorder="1" applyAlignment="1">
      <alignment horizontal="center" vertical="center" wrapText="1"/>
    </xf>
    <xf numFmtId="14" fontId="5" fillId="10" borderId="82" xfId="0" applyNumberFormat="1" applyFont="1" applyFill="1" applyBorder="1" applyAlignment="1">
      <alignment horizontal="center" vertical="center" wrapText="1"/>
    </xf>
    <xf numFmtId="14" fontId="5" fillId="10" borderId="0" xfId="0" applyNumberFormat="1" applyFont="1" applyFill="1" applyAlignment="1">
      <alignment horizontal="center" vertical="center" wrapText="1"/>
    </xf>
    <xf numFmtId="14" fontId="5" fillId="10" borderId="68" xfId="0" applyNumberFormat="1" applyFont="1" applyFill="1" applyBorder="1" applyAlignment="1">
      <alignment horizontal="center" vertical="center" wrapText="1"/>
    </xf>
    <xf numFmtId="14" fontId="5" fillId="10" borderId="64" xfId="0" applyNumberFormat="1" applyFont="1" applyFill="1" applyBorder="1" applyAlignment="1">
      <alignment horizontal="center" vertical="center" wrapText="1"/>
    </xf>
    <xf numFmtId="14" fontId="5" fillId="10" borderId="54" xfId="0" applyNumberFormat="1" applyFont="1" applyFill="1" applyBorder="1" applyAlignment="1">
      <alignment horizontal="center" vertical="center" wrapText="1"/>
    </xf>
    <xf numFmtId="14" fontId="5" fillId="10" borderId="70" xfId="0" applyNumberFormat="1" applyFont="1" applyFill="1" applyBorder="1" applyAlignment="1">
      <alignment horizontal="center" vertical="center" wrapText="1"/>
    </xf>
    <xf numFmtId="14" fontId="5" fillId="11" borderId="12" xfId="0" applyNumberFormat="1" applyFont="1" applyFill="1" applyBorder="1" applyAlignment="1">
      <alignment horizontal="center" vertical="center" wrapText="1"/>
    </xf>
    <xf numFmtId="14" fontId="5" fillId="11" borderId="7" xfId="0" applyNumberFormat="1" applyFont="1" applyFill="1" applyBorder="1" applyAlignment="1">
      <alignment horizontal="center" vertical="center" wrapText="1"/>
    </xf>
    <xf numFmtId="14" fontId="5" fillId="11" borderId="8" xfId="0" applyNumberFormat="1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left" vertical="top"/>
    </xf>
    <xf numFmtId="0" fontId="5" fillId="0" borderId="44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5" fillId="0" borderId="63" xfId="0" applyFont="1" applyBorder="1" applyAlignment="1">
      <alignment horizontal="center" vertical="center"/>
    </xf>
    <xf numFmtId="166" fontId="10" fillId="0" borderId="47" xfId="1" applyNumberFormat="1" applyFont="1" applyBorder="1" applyAlignment="1">
      <alignment horizontal="center" vertical="center"/>
    </xf>
    <xf numFmtId="166" fontId="10" fillId="0" borderId="48" xfId="1" applyNumberFormat="1" applyFont="1" applyBorder="1" applyAlignment="1">
      <alignment horizontal="center" vertical="center"/>
    </xf>
    <xf numFmtId="166" fontId="10" fillId="0" borderId="42" xfId="1" applyNumberFormat="1" applyFont="1" applyBorder="1" applyAlignment="1">
      <alignment horizontal="center" vertical="center"/>
    </xf>
    <xf numFmtId="14" fontId="5" fillId="10" borderId="44" xfId="0" applyNumberFormat="1" applyFont="1" applyFill="1" applyBorder="1" applyAlignment="1">
      <alignment horizontal="center" vertical="center" wrapText="1"/>
    </xf>
    <xf numFmtId="14" fontId="5" fillId="10" borderId="43" xfId="0" applyNumberFormat="1" applyFont="1" applyFill="1" applyBorder="1" applyAlignment="1">
      <alignment horizontal="center" vertical="center" wrapText="1"/>
    </xf>
    <xf numFmtId="14" fontId="5" fillId="10" borderId="31" xfId="0" applyNumberFormat="1" applyFont="1" applyFill="1" applyBorder="1" applyAlignment="1">
      <alignment horizontal="center" vertical="center" wrapText="1"/>
    </xf>
    <xf numFmtId="14" fontId="5" fillId="10" borderId="52" xfId="0" applyNumberFormat="1" applyFont="1" applyFill="1" applyBorder="1" applyAlignment="1">
      <alignment horizontal="center" vertical="center" wrapText="1"/>
    </xf>
    <xf numFmtId="14" fontId="5" fillId="10" borderId="187" xfId="0" applyNumberFormat="1" applyFont="1" applyFill="1" applyBorder="1" applyAlignment="1">
      <alignment horizontal="center" vertical="center" wrapText="1"/>
    </xf>
    <xf numFmtId="14" fontId="5" fillId="10" borderId="188" xfId="0" applyNumberFormat="1" applyFont="1" applyFill="1" applyBorder="1" applyAlignment="1">
      <alignment horizontal="center" vertical="center" wrapText="1"/>
    </xf>
    <xf numFmtId="14" fontId="5" fillId="10" borderId="63" xfId="0" applyNumberFormat="1" applyFont="1" applyFill="1" applyBorder="1" applyAlignment="1">
      <alignment horizontal="center" vertical="center" wrapText="1"/>
    </xf>
    <xf numFmtId="14" fontId="5" fillId="10" borderId="3" xfId="0" applyNumberFormat="1" applyFont="1" applyFill="1" applyBorder="1" applyAlignment="1">
      <alignment horizontal="center" vertical="center" wrapText="1"/>
    </xf>
    <xf numFmtId="14" fontId="5" fillId="10" borderId="39" xfId="0" applyNumberFormat="1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166" fontId="10" fillId="0" borderId="12" xfId="1" applyNumberFormat="1" applyFont="1" applyBorder="1" applyAlignment="1">
      <alignment horizontal="center"/>
    </xf>
    <xf numFmtId="166" fontId="10" fillId="0" borderId="7" xfId="1" applyNumberFormat="1" applyFont="1" applyBorder="1" applyAlignment="1">
      <alignment horizontal="center"/>
    </xf>
    <xf numFmtId="166" fontId="10" fillId="0" borderId="8" xfId="1" applyNumberFormat="1" applyFont="1" applyBorder="1" applyAlignment="1">
      <alignment horizontal="center"/>
    </xf>
    <xf numFmtId="0" fontId="5" fillId="0" borderId="26" xfId="0" applyFont="1" applyBorder="1" applyAlignment="1">
      <alignment horizontal="center" vertical="center"/>
    </xf>
    <xf numFmtId="0" fontId="5" fillId="0" borderId="57" xfId="0" applyFont="1" applyBorder="1" applyAlignment="1">
      <alignment horizontal="center" vertical="center"/>
    </xf>
    <xf numFmtId="0" fontId="21" fillId="19" borderId="149" xfId="0" applyFont="1" applyFill="1" applyBorder="1" applyAlignment="1">
      <alignment horizontal="center" vertical="center" wrapText="1"/>
    </xf>
    <xf numFmtId="0" fontId="21" fillId="19" borderId="152" xfId="0" applyFont="1" applyFill="1" applyBorder="1" applyAlignment="1">
      <alignment horizontal="center" vertical="center" wrapText="1"/>
    </xf>
    <xf numFmtId="0" fontId="21" fillId="19" borderId="156" xfId="0" applyFont="1" applyFill="1" applyBorder="1" applyAlignment="1">
      <alignment horizontal="center" vertical="center" wrapText="1"/>
    </xf>
    <xf numFmtId="0" fontId="20" fillId="0" borderId="3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22" fillId="27" borderId="149" xfId="0" applyFont="1" applyFill="1" applyBorder="1" applyAlignment="1">
      <alignment wrapText="1"/>
    </xf>
    <xf numFmtId="0" fontId="22" fillId="27" borderId="152" xfId="0" applyFont="1" applyFill="1" applyBorder="1" applyAlignment="1">
      <alignment wrapText="1"/>
    </xf>
    <xf numFmtId="0" fontId="22" fillId="27" borderId="156" xfId="0" applyFont="1" applyFill="1" applyBorder="1" applyAlignment="1">
      <alignment wrapText="1"/>
    </xf>
    <xf numFmtId="0" fontId="22" fillId="0" borderId="120" xfId="0" applyFont="1" applyBorder="1" applyAlignment="1">
      <alignment wrapText="1"/>
    </xf>
    <xf numFmtId="0" fontId="22" fillId="0" borderId="121" xfId="0" applyFont="1" applyBorder="1" applyAlignment="1">
      <alignment wrapText="1"/>
    </xf>
    <xf numFmtId="0" fontId="22" fillId="0" borderId="122" xfId="0" applyFont="1" applyBorder="1" applyAlignment="1">
      <alignment wrapText="1"/>
    </xf>
    <xf numFmtId="0" fontId="22" fillId="27" borderId="120" xfId="0" applyFont="1" applyFill="1" applyBorder="1" applyAlignment="1">
      <alignment wrapText="1"/>
    </xf>
    <xf numFmtId="0" fontId="22" fillId="27" borderId="121" xfId="0" applyFont="1" applyFill="1" applyBorder="1" applyAlignment="1">
      <alignment wrapText="1"/>
    </xf>
    <xf numFmtId="0" fontId="22" fillId="27" borderId="122" xfId="0" applyFont="1" applyFill="1" applyBorder="1" applyAlignment="1">
      <alignment wrapText="1"/>
    </xf>
    <xf numFmtId="0" fontId="22" fillId="27" borderId="120" xfId="0" applyFont="1" applyFill="1" applyBorder="1"/>
    <xf numFmtId="0" fontId="22" fillId="27" borderId="122" xfId="0" applyFont="1" applyFill="1" applyBorder="1"/>
    <xf numFmtId="0" fontId="22" fillId="18" borderId="159" xfId="0" applyFont="1" applyFill="1" applyBorder="1"/>
    <xf numFmtId="0" fontId="22" fillId="18" borderId="172" xfId="0" applyFont="1" applyFill="1" applyBorder="1"/>
    <xf numFmtId="0" fontId="22" fillId="0" borderId="159" xfId="0" applyFont="1" applyBorder="1"/>
    <xf numFmtId="0" fontId="22" fillId="0" borderId="172" xfId="0" applyFont="1" applyBorder="1"/>
    <xf numFmtId="0" fontId="22" fillId="27" borderId="129" xfId="0" applyFont="1" applyFill="1" applyBorder="1" applyAlignment="1">
      <alignment wrapText="1"/>
    </xf>
    <xf numFmtId="0" fontId="22" fillId="27" borderId="131" xfId="0" applyFont="1" applyFill="1" applyBorder="1" applyAlignment="1">
      <alignment wrapText="1"/>
    </xf>
    <xf numFmtId="0" fontId="22" fillId="0" borderId="120" xfId="0" applyFont="1" applyBorder="1"/>
    <xf numFmtId="0" fontId="22" fillId="0" borderId="122" xfId="0" applyFont="1" applyBorder="1"/>
    <xf numFmtId="0" fontId="22" fillId="18" borderId="158" xfId="0" applyFont="1" applyFill="1" applyBorder="1" applyAlignment="1">
      <alignment horizontal="left" vertical="top" wrapText="1"/>
    </xf>
    <xf numFmtId="0" fontId="22" fillId="18" borderId="103" xfId="0" applyFont="1" applyFill="1" applyBorder="1" applyAlignment="1">
      <alignment horizontal="left" vertical="top" wrapText="1"/>
    </xf>
    <xf numFmtId="0" fontId="21" fillId="17" borderId="168" xfId="0" applyFont="1" applyFill="1" applyBorder="1" applyAlignment="1">
      <alignment horizontal="center"/>
    </xf>
    <xf numFmtId="0" fontId="21" fillId="17" borderId="169" xfId="0" applyFont="1" applyFill="1" applyBorder="1" applyAlignment="1">
      <alignment horizontal="center"/>
    </xf>
    <xf numFmtId="0" fontId="21" fillId="25" borderId="128" xfId="0" applyFont="1" applyFill="1" applyBorder="1" applyAlignment="1">
      <alignment horizontal="center" vertical="center"/>
    </xf>
    <xf numFmtId="0" fontId="21" fillId="25" borderId="170" xfId="0" applyFont="1" applyFill="1" applyBorder="1" applyAlignment="1">
      <alignment horizontal="center" vertical="center"/>
    </xf>
    <xf numFmtId="0" fontId="22" fillId="18" borderId="158" xfId="0" applyFont="1" applyFill="1" applyBorder="1" applyAlignment="1">
      <alignment horizontal="left" vertical="top"/>
    </xf>
    <xf numFmtId="0" fontId="22" fillId="18" borderId="171" xfId="0" applyFont="1" applyFill="1" applyBorder="1" applyAlignment="1">
      <alignment horizontal="left" vertical="top"/>
    </xf>
    <xf numFmtId="0" fontId="21" fillId="19" borderId="120" xfId="0" applyFont="1" applyFill="1" applyBorder="1" applyAlignment="1">
      <alignment horizontal="center" vertical="center" wrapText="1"/>
    </xf>
    <xf numFmtId="0" fontId="21" fillId="19" borderId="121" xfId="0" applyFont="1" applyFill="1" applyBorder="1" applyAlignment="1">
      <alignment horizontal="center" vertical="center" wrapText="1"/>
    </xf>
    <xf numFmtId="0" fontId="21" fillId="19" borderId="122" xfId="0" applyFont="1" applyFill="1" applyBorder="1" applyAlignment="1">
      <alignment horizontal="center" vertical="center" wrapText="1"/>
    </xf>
    <xf numFmtId="0" fontId="22" fillId="27" borderId="150" xfId="0" applyFont="1" applyFill="1" applyBorder="1" applyAlignment="1">
      <alignment horizontal="center" vertical="top"/>
    </xf>
    <xf numFmtId="0" fontId="22" fillId="27" borderId="145" xfId="0" applyFont="1" applyFill="1" applyBorder="1" applyAlignment="1">
      <alignment horizontal="center" vertical="top"/>
    </xf>
    <xf numFmtId="0" fontId="22" fillId="27" borderId="184" xfId="0" applyFont="1" applyFill="1" applyBorder="1" applyAlignment="1">
      <alignment wrapText="1"/>
    </xf>
    <xf numFmtId="0" fontId="22" fillId="27" borderId="185" xfId="0" applyFont="1" applyFill="1" applyBorder="1" applyAlignment="1">
      <alignment wrapText="1"/>
    </xf>
    <xf numFmtId="0" fontId="22" fillId="27" borderId="186" xfId="0" applyFont="1" applyFill="1" applyBorder="1" applyAlignment="1">
      <alignment wrapText="1"/>
    </xf>
    <xf numFmtId="0" fontId="21" fillId="19" borderId="147" xfId="0" applyFont="1" applyFill="1" applyBorder="1" applyAlignment="1">
      <alignment horizontal="center" vertical="center" wrapText="1"/>
    </xf>
    <xf numFmtId="0" fontId="21" fillId="19" borderId="153" xfId="0" applyFont="1" applyFill="1" applyBorder="1" applyAlignment="1">
      <alignment horizontal="center" vertical="center" wrapText="1"/>
    </xf>
    <xf numFmtId="0" fontId="22" fillId="0" borderId="159" xfId="0" applyFont="1" applyBorder="1" applyAlignment="1">
      <alignment wrapText="1"/>
    </xf>
    <xf numFmtId="0" fontId="22" fillId="0" borderId="0" xfId="0" applyFont="1" applyAlignment="1">
      <alignment wrapText="1"/>
    </xf>
    <xf numFmtId="0" fontId="22" fillId="0" borderId="160" xfId="0" applyFont="1" applyBorder="1" applyAlignment="1">
      <alignment wrapText="1"/>
    </xf>
    <xf numFmtId="0" fontId="22" fillId="0" borderId="98" xfId="0" applyFont="1" applyBorder="1" applyAlignment="1">
      <alignment wrapText="1"/>
    </xf>
    <xf numFmtId="0" fontId="22" fillId="18" borderId="159" xfId="0" applyFont="1" applyFill="1" applyBorder="1" applyAlignment="1">
      <alignment wrapText="1"/>
    </xf>
    <xf numFmtId="0" fontId="22" fillId="18" borderId="0" xfId="0" applyFont="1" applyFill="1" applyAlignment="1">
      <alignment wrapText="1"/>
    </xf>
    <xf numFmtId="0" fontId="22" fillId="0" borderId="161" xfId="0" applyFont="1" applyBorder="1"/>
    <xf numFmtId="0" fontId="22" fillId="0" borderId="181" xfId="0" applyFont="1" applyBorder="1"/>
    <xf numFmtId="0" fontId="22" fillId="29" borderId="161" xfId="0" applyFont="1" applyFill="1" applyBorder="1"/>
    <xf numFmtId="0" fontId="22" fillId="29" borderId="181" xfId="0" applyFont="1" applyFill="1" applyBorder="1"/>
    <xf numFmtId="0" fontId="22" fillId="0" borderId="160" xfId="0" applyFont="1" applyBorder="1"/>
    <xf numFmtId="0" fontId="22" fillId="0" borderId="173" xfId="0" applyFont="1" applyBorder="1"/>
    <xf numFmtId="0" fontId="22" fillId="0" borderId="162" xfId="0" applyFont="1" applyBorder="1"/>
    <xf numFmtId="0" fontId="22" fillId="0" borderId="135" xfId="0" applyFont="1" applyBorder="1"/>
    <xf numFmtId="0" fontId="21" fillId="28" borderId="176" xfId="0" applyFont="1" applyFill="1" applyBorder="1" applyAlignment="1">
      <alignment horizontal="center"/>
    </xf>
    <xf numFmtId="0" fontId="21" fillId="28" borderId="177" xfId="0" applyFont="1" applyFill="1" applyBorder="1" applyAlignment="1">
      <alignment horizontal="center"/>
    </xf>
    <xf numFmtId="0" fontId="22" fillId="0" borderId="182" xfId="0" applyFont="1" applyBorder="1"/>
    <xf numFmtId="0" fontId="22" fillId="29" borderId="178" xfId="0" applyFont="1" applyFill="1" applyBorder="1"/>
    <xf numFmtId="0" fontId="22" fillId="29" borderId="139" xfId="0" applyFont="1" applyFill="1" applyBorder="1"/>
    <xf numFmtId="0" fontId="22" fillId="0" borderId="134" xfId="0" applyFont="1" applyBorder="1"/>
    <xf numFmtId="0" fontId="22" fillId="29" borderId="134" xfId="0" applyFont="1" applyFill="1" applyBorder="1"/>
    <xf numFmtId="0" fontId="22" fillId="29" borderId="179" xfId="0" applyFont="1" applyFill="1" applyBorder="1"/>
    <xf numFmtId="0" fontId="21" fillId="28" borderId="175" xfId="0" applyFont="1" applyFill="1" applyBorder="1"/>
    <xf numFmtId="0" fontId="21" fillId="28" borderId="180" xfId="0" applyFont="1" applyFill="1" applyBorder="1"/>
    <xf numFmtId="0" fontId="0" fillId="18" borderId="103" xfId="0" applyFill="1" applyBorder="1" applyAlignment="1">
      <alignment horizontal="left" vertical="top" wrapText="1"/>
    </xf>
    <xf numFmtId="0" fontId="12" fillId="0" borderId="12" xfId="0" applyFont="1" applyBorder="1" applyAlignment="1">
      <alignment vertical="center"/>
    </xf>
    <xf numFmtId="0" fontId="12" fillId="0" borderId="7" xfId="0" applyFont="1" applyBorder="1" applyAlignment="1">
      <alignment vertical="center"/>
    </xf>
  </cellXfs>
  <cellStyles count="6">
    <cellStyle name="20% - Accent2" xfId="2" builtinId="34"/>
    <cellStyle name="20% - Accent4" xfId="3" builtinId="42"/>
    <cellStyle name="Comma" xfId="1" builtinId="3"/>
    <cellStyle name="Normal" xfId="0" builtinId="0"/>
    <cellStyle name="Normal 2" xfId="4" xr:uid="{2DAC0625-BD30-470E-980A-85856FD48739}"/>
    <cellStyle name="Percent" xfId="5" builtinId="5"/>
  </cellStyles>
  <dxfs count="58">
    <dxf>
      <fill>
        <patternFill>
          <bgColor theme="5" tint="0.39994506668294322"/>
        </patternFill>
      </fill>
    </dxf>
    <dxf>
      <font>
        <color rgb="FFFF0000"/>
      </font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8" formatCode="mmm\ \-\ yy"/>
    </dxf>
    <dxf>
      <font>
        <strike val="0"/>
        <outline val="0"/>
        <shadow val="0"/>
        <u val="none"/>
        <vertAlign val="baseline"/>
        <sz val="12"/>
      </font>
    </dxf>
    <dxf>
      <font>
        <strike val="0"/>
        <outline val="0"/>
        <shadow val="0"/>
        <u val="none"/>
        <vertAlign val="baseline"/>
        <sz val="12"/>
      </font>
      <numFmt numFmtId="165" formatCode="_-* #,##0_-;\-* #,##0_-;_-* &quot;-&quot;??_-;_-@_-"/>
      <border diagonalUp="0" diagonalDown="0">
        <left style="thin">
          <color theme="0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165" formatCode="_-* #,##0_-;\-* #,##0_-;_-* &quot;-&quot;??_-;_-@_-"/>
      <fill>
        <patternFill patternType="solid">
          <fgColor theme="7" tint="0.79998168889431442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</font>
      <numFmt numFmtId="165" formatCode="_-* #,##0_-;\-* #,##0_-;_-* &quot;-&quot;??_-;_-@_-"/>
      <border diagonalUp="0" diagonalDown="0">
        <left style="thin">
          <color theme="0" tint="-0.249977111117893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fill>
        <patternFill patternType="solid">
          <fgColor theme="7" tint="0.79998168889431442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theme="9" tint="-0.24994659260841701"/>
      </font>
    </dxf>
    <dxf>
      <font>
        <color rgb="FFFF0000"/>
      </font>
    </dxf>
    <dxf>
      <border>
        <bottom style="thin">
          <color auto="1"/>
        </bottom>
        <vertical/>
        <horizontal/>
      </border>
    </dxf>
    <dxf>
      <fill>
        <patternFill patternType="solid">
          <fgColor rgb="FF99FFCC"/>
          <bgColor theme="9" tint="0.79998168889431442"/>
        </patternFill>
      </fill>
    </dxf>
    <dxf>
      <fill>
        <patternFill patternType="solid">
          <fgColor rgb="FFCC99FF"/>
          <bgColor theme="5" tint="0.79998168889431442"/>
        </patternFill>
      </fill>
    </dxf>
    <dxf>
      <fill>
        <patternFill patternType="solid">
          <fgColor rgb="FFFFCC99"/>
          <bgColor theme="7" tint="0.59996337778862885"/>
        </patternFill>
      </fill>
    </dxf>
    <dxf>
      <fill>
        <patternFill patternType="solid">
          <fgColor rgb="FF99FFFF"/>
          <bgColor theme="8" tint="0.79998168889431442"/>
        </patternFill>
      </fill>
    </dxf>
    <dxf>
      <fill>
        <patternFill patternType="solid">
          <fgColor rgb="FFFF99FF"/>
          <bgColor theme="9" tint="0.59996337778862885"/>
        </patternFill>
      </fill>
    </dxf>
    <dxf>
      <fill>
        <patternFill patternType="solid">
          <fgColor rgb="FFFFFF99"/>
          <bgColor theme="5" tint="0.59996337778862885"/>
        </patternFill>
      </fill>
    </dxf>
    <dxf>
      <fill>
        <patternFill patternType="solid">
          <fgColor rgb="FF9999FF"/>
          <bgColor theme="7" tint="0.79998168889431442"/>
        </patternFill>
      </fill>
    </dxf>
    <dxf>
      <fill>
        <patternFill patternType="solid">
          <fgColor rgb="FF99FF99"/>
          <bgColor theme="8" tint="0.59996337778862885"/>
        </patternFill>
      </fill>
    </dxf>
    <dxf>
      <fill>
        <patternFill patternType="solid">
          <fgColor rgb="FFFF9999"/>
          <bgColor theme="9" tint="0.79998168889431442"/>
        </patternFill>
      </fill>
    </dxf>
    <dxf>
      <border>
        <bottom style="thin">
          <color auto="1"/>
        </bottom>
        <vertical/>
        <horizontal/>
      </border>
    </dxf>
    <dxf>
      <fill>
        <patternFill patternType="solid">
          <fgColor rgb="FF99FFCC"/>
          <bgColor theme="9" tint="0.79998168889431442"/>
        </patternFill>
      </fill>
    </dxf>
    <dxf>
      <fill>
        <patternFill patternType="solid">
          <fgColor rgb="FFCC99FF"/>
          <bgColor theme="5" tint="0.79998168889431442"/>
        </patternFill>
      </fill>
    </dxf>
    <dxf>
      <fill>
        <patternFill patternType="solid">
          <fgColor rgb="FFFFCC99"/>
          <bgColor theme="7" tint="0.59996337778862885"/>
        </patternFill>
      </fill>
    </dxf>
    <dxf>
      <fill>
        <patternFill patternType="solid">
          <fgColor rgb="FF99FFFF"/>
          <bgColor theme="8" tint="0.79998168889431442"/>
        </patternFill>
      </fill>
    </dxf>
    <dxf>
      <fill>
        <patternFill patternType="solid">
          <fgColor rgb="FFFF99FF"/>
          <bgColor theme="9" tint="0.59996337778862885"/>
        </patternFill>
      </fill>
    </dxf>
    <dxf>
      <fill>
        <patternFill patternType="solid">
          <fgColor rgb="FFFFFF99"/>
          <bgColor theme="5" tint="0.59996337778862885"/>
        </patternFill>
      </fill>
    </dxf>
    <dxf>
      <fill>
        <patternFill patternType="solid">
          <fgColor rgb="FF9999FF"/>
          <bgColor theme="7" tint="0.79998168889431442"/>
        </patternFill>
      </fill>
    </dxf>
    <dxf>
      <fill>
        <patternFill patternType="solid">
          <fgColor rgb="FF99FF99"/>
          <bgColor theme="8" tint="0.59996337778862885"/>
        </patternFill>
      </fill>
    </dxf>
    <dxf>
      <fill>
        <patternFill patternType="solid">
          <fgColor rgb="FFFF9999"/>
          <bgColor theme="9" tint="0.79998168889431442"/>
        </patternFill>
      </fill>
    </dxf>
    <dxf>
      <border>
        <bottom style="thin">
          <color auto="1"/>
        </bottom>
        <vertical/>
        <horizontal/>
      </border>
    </dxf>
    <dxf>
      <fill>
        <patternFill patternType="solid">
          <fgColor rgb="FF99FFCC"/>
          <bgColor theme="9" tint="0.79998168889431442"/>
        </patternFill>
      </fill>
    </dxf>
    <dxf>
      <fill>
        <patternFill patternType="solid">
          <fgColor rgb="FFCC99FF"/>
          <bgColor theme="5" tint="0.79998168889431442"/>
        </patternFill>
      </fill>
    </dxf>
    <dxf>
      <fill>
        <patternFill patternType="solid">
          <fgColor rgb="FFFFCC99"/>
          <bgColor theme="7" tint="0.59996337778862885"/>
        </patternFill>
      </fill>
    </dxf>
    <dxf>
      <fill>
        <patternFill patternType="solid">
          <fgColor rgb="FF99FFFF"/>
          <bgColor theme="8" tint="0.79998168889431442"/>
        </patternFill>
      </fill>
    </dxf>
    <dxf>
      <fill>
        <patternFill patternType="solid">
          <fgColor rgb="FFFF99FF"/>
          <bgColor theme="9" tint="0.59996337778862885"/>
        </patternFill>
      </fill>
    </dxf>
    <dxf>
      <fill>
        <patternFill patternType="solid">
          <fgColor rgb="FFFFFF99"/>
          <bgColor theme="5" tint="0.59996337778862885"/>
        </patternFill>
      </fill>
    </dxf>
    <dxf>
      <fill>
        <patternFill patternType="solid">
          <fgColor rgb="FF9999FF"/>
          <bgColor theme="7" tint="0.79998168889431442"/>
        </patternFill>
      </fill>
    </dxf>
    <dxf>
      <fill>
        <patternFill patternType="solid">
          <fgColor rgb="FF99FF99"/>
          <bgColor theme="8" tint="0.59996337778862885"/>
        </patternFill>
      </fill>
    </dxf>
    <dxf>
      <fill>
        <patternFill patternType="solid">
          <fgColor rgb="FFFF9999"/>
          <bgColor theme="9" tint="0.79998168889431442"/>
        </patternFill>
      </fill>
    </dxf>
    <dxf>
      <font>
        <color rgb="FFFF0000"/>
      </font>
    </dxf>
    <dxf>
      <font>
        <color theme="9"/>
      </font>
    </dxf>
    <dxf>
      <fill>
        <gradientFill degree="90">
          <stop position="0">
            <color theme="0"/>
          </stop>
          <stop position="0.5">
            <color theme="5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9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7"/>
          </stop>
          <stop position="1">
            <color theme="0"/>
          </stop>
        </gradientFill>
      </fill>
    </dxf>
    <dxf>
      <border>
        <bottom style="thin">
          <color auto="1"/>
        </bottom>
        <vertical/>
        <horizontal/>
      </border>
    </dxf>
    <dxf>
      <font>
        <color rgb="FFFF0000"/>
      </font>
    </dxf>
  </dxfs>
  <tableStyles count="0" defaultTableStyle="TableStyleMedium2" defaultPivotStyle="PivotStyleLight16"/>
  <colors>
    <mruColors>
      <color rgb="FF6A8ED0"/>
      <color rgb="FF5C84CC"/>
      <color rgb="FFFBFBFB"/>
      <color rgb="FFF2F8EE"/>
      <color rgb="FFFDF0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</xdr:row>
          <xdr:rowOff>177800</xdr:rowOff>
        </xdr:from>
        <xdr:to>
          <xdr:col>0</xdr:col>
          <xdr:colOff>1327150</xdr:colOff>
          <xdr:row>5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Fix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3</xdr:row>
          <xdr:rowOff>190500</xdr:rowOff>
        </xdr:from>
        <xdr:to>
          <xdr:col>1</xdr:col>
          <xdr:colOff>1314450</xdr:colOff>
          <xdr:row>5</xdr:row>
          <xdr:rowOff>203200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row Above</a:t>
              </a:r>
            </a:p>
            <a:p>
              <a:pPr algn="ctr" rtl="0">
                <a:defRPr sz="1000"/>
              </a:pPr>
              <a:endParaRPr lang="en-NZ"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mon Drake" refreshedDate="46111.325064699071" createdVersion="8" refreshedVersion="8" minRefreshableVersion="3" recordCount="1113" xr:uid="{D4201234-0464-4F8B-BC36-E3BDD4E7CA4B}">
  <cacheSource type="worksheet">
    <worksheetSource ref="A1:V11094" sheet="Raw Data Entry"/>
  </cacheSource>
  <cacheFields count="24">
    <cacheField name="FY-Period" numFmtId="0">
      <sharedItems containsBlank="1" count="74">
        <s v="26-04"/>
        <s v="26-06"/>
        <s v="26-07"/>
        <s v="26-08"/>
        <s v="26-09"/>
        <m/>
        <s v="Total" u="1"/>
        <s v=" 17-12" u="1"/>
        <s v=" 18-01" u="1"/>
        <s v=" 18-02" u="1"/>
        <s v=" 18-03" u="1"/>
        <s v=" 18-04" u="1"/>
        <s v=" 18-05" u="1"/>
        <s v=" 18-06" u="1"/>
        <s v=" 18-07" u="1"/>
        <s v=" 18-08" u="1"/>
        <s v=" 18-09" u="1"/>
        <s v=" 18-10" u="1"/>
        <s v=" 18-11" u="1"/>
        <s v=" 18-12" u="1"/>
        <s v=" 19-01" u="1"/>
        <s v=" 19-02" u="1"/>
        <s v=" 19-03" u="1"/>
        <s v=" 19-04" u="1"/>
        <s v=" 19-05" u="1"/>
        <s v=" 19-06" u="1"/>
        <s v=" 19-07" u="1"/>
        <s v=" 19-08" u="1"/>
        <s v=" 19-09" u="1"/>
        <s v=" 19-10" u="1"/>
        <s v=" 19-11" u="1"/>
        <s v=" 19-12" u="1"/>
        <s v=" 20-01" u="1"/>
        <s v=" 20-02" u="1"/>
        <s v=" 20-03" u="1"/>
        <s v=" 20-12" u="1"/>
        <s v=" 21-01" u="1"/>
        <s v=" 23-04" u="1"/>
        <s v=" 23-05" u="1"/>
        <s v=" 23-06" u="1"/>
        <s v=" 23-07" u="1"/>
        <s v=" 23-08" u="1"/>
        <s v=" 23-09" u="1"/>
        <s v=" 23-10" u="1"/>
        <s v=" 23-11" u="1"/>
        <s v=" 23-12" u="1"/>
        <s v=" 24-01" u="1"/>
        <s v=" 24-02" u="1"/>
        <s v=" 24-03" u="1"/>
        <s v=" 24-04" u="1"/>
        <s v=" 24-05" u="1"/>
        <s v=" 24-06" u="1"/>
        <s v=" 24-07" u="1"/>
        <s v=" 24-08" u="1"/>
        <s v=" 24-09" u="1"/>
        <s v=" 24-10" u="1"/>
        <s v=" 24-11" u="1"/>
        <s v=" 24-12" u="1"/>
        <s v=" 25-01" u="1"/>
        <s v=" 25-02" u="1"/>
        <s v=" 25-03" u="1"/>
        <s v=" 25-04" u="1"/>
        <s v=" 25-05" u="1"/>
        <s v=" 25-06" u="1"/>
        <s v=" 25-07" u="1"/>
        <s v=" 25-08" u="1"/>
        <s v=" 25-09" u="1"/>
        <s v=" 25-10" u="1"/>
        <s v="25-11" u="1"/>
        <s v="25-12" u="1"/>
        <s v="26-01" u="1"/>
        <s v="26-02" u="1"/>
        <s v="26-03" u="1"/>
        <s v="26-05" u="1"/>
      </sharedItems>
    </cacheField>
    <cacheField name="Task Number" numFmtId="0">
      <sharedItems containsBlank="1" count="12">
        <s v="WA57102001"/>
        <s v="WA57102002"/>
        <m/>
        <s v="WW32203001" u="1"/>
        <s v="WW32203002" u="1"/>
        <s v="WW32203003" u="1"/>
        <s v="WW32202001" u="1"/>
        <s v="WW32203004" u="1"/>
        <s v="WW32202002" u="1"/>
        <s v="WW32203005" u="1"/>
        <s v="WW32203006" u="1"/>
        <s v="WW32203008" u="1"/>
      </sharedItems>
    </cacheField>
    <cacheField name="Period" numFmtId="0">
      <sharedItems containsString="0" containsBlank="1" containsNumber="1" containsInteger="1" minValue="4" maxValue="9"/>
    </cacheField>
    <cacheField name="Doc Date" numFmtId="0">
      <sharedItems containsNonDate="0" containsDate="1" containsString="0" containsBlank="1" minDate="2025-10-19T00:00:00" maxDate="2026-03-23T00:00:00"/>
    </cacheField>
    <cacheField name="Units" numFmtId="0">
      <sharedItems containsString="0" containsBlank="1" containsNumber="1" containsInteger="1" minValue="1" maxValue="8"/>
    </cacheField>
    <cacheField name="Unit Rate" numFmtId="0">
      <sharedItems containsString="0" containsBlank="1" containsNumber="1" containsInteger="1" minValue="0" maxValue="155"/>
    </cacheField>
    <cacheField name="Amount" numFmtId="0">
      <sharedItems containsString="0" containsBlank="1" containsNumber="1" containsInteger="1" minValue="150" maxValue="4060"/>
    </cacheField>
    <cacheField name="Cost Ledger" numFmtId="0">
      <sharedItems containsBlank="1"/>
    </cacheField>
    <cacheField name="Cost Account" numFmtId="0">
      <sharedItems containsBlank="1"/>
    </cacheField>
    <cacheField name="Project Code" numFmtId="0">
      <sharedItems containsBlank="1"/>
    </cacheField>
    <cacheField name="Parent Project Code" numFmtId="0">
      <sharedItems containsBlank="1"/>
    </cacheField>
    <cacheField name="Resource Code" numFmtId="0">
      <sharedItems containsBlank="1"/>
    </cacheField>
    <cacheField name="Resource Description" numFmtId="0">
      <sharedItems containsBlank="1"/>
    </cacheField>
    <cacheField name="Source" numFmtId="0">
      <sharedItems containsBlank="1"/>
    </cacheField>
    <cacheField name="PO Number" numFmtId="0">
      <sharedItems containsBlank="1"/>
    </cacheField>
    <cacheField name="PO Comments" numFmtId="0">
      <sharedItems containsNonDate="0" containsString="0" containsBlank="1"/>
    </cacheField>
    <cacheField name="Supplier Name" numFmtId="0">
      <sharedItems containsNonDate="0" containsString="0" containsBlank="1"/>
    </cacheField>
    <cacheField name="Narrative 1" numFmtId="0">
      <sharedItems containsBlank="1"/>
    </cacheField>
    <cacheField name="Narrative 2" numFmtId="0">
      <sharedItems containsBlank="1"/>
    </cacheField>
    <cacheField name="Narrative 3" numFmtId="0">
      <sharedItems containsBlank="1"/>
    </cacheField>
    <cacheField name="Who" numFmtId="0">
      <sharedItems containsBlank="1"/>
    </cacheField>
    <cacheField name="Manual Name" numFmtId="0">
      <sharedItems containsBlank="1" count="35">
        <s v="Daniel Robert Drummond"/>
        <s v="Flex Projects L"/>
        <s v="Scott Ryan"/>
        <s v="Stanley Drake"/>
        <s v="Gregory Parkin"/>
        <m/>
        <s v="Katie Armstrong" u="1"/>
        <s v="Paula Wright" u="1"/>
        <s v="OPUS" u="1"/>
        <s v="David Taylor" u="1"/>
        <s v="TARANAKI REGIONAL COUNCIL" u="1"/>
        <s v="SIMON DRAKE" u="1"/>
        <s v="ILLION TENDERLINK LIMITED" u="1"/>
        <s v="TONKIN &amp; TAYLOR" u="1"/>
        <s v="James Mitchell" u="1"/>
        <s v="CONNEXIS" u="1"/>
        <s v="Wayne Hancock" u="1"/>
        <s v="RILEY CONSULTAN" u="1"/>
        <s v="TARA REGIONAL" u="1"/>
        <s v="PERRY GEOTECH LTD" u="1"/>
        <s v="GRAEME POOL" u="1"/>
        <s v="Apex Water Ltd" u="1"/>
        <s v="William Monk" u="1"/>
        <s v="JK SOLUTIONS LI" u="1"/>
        <s v="Terry Michael McNamara" u="1"/>
        <s v="FAIRFAX" u="1"/>
        <s v="re-class historic costs clean up" u="1"/>
        <s v="SAFETY SOLUTIONS LTD" u="1"/>
        <s v="Murray Heyrick" u="1"/>
        <s v="GOGGLES ON" u="1"/>
        <s v="GEOMETRIA SERVI" u="1"/>
        <s v="BTW Company" u="1"/>
        <s v="Sean Cressy" u="1"/>
        <s v="Meghan Stenner" u="1"/>
        <s v="Fulton Hogan" u="1"/>
      </sharedItems>
    </cacheField>
    <cacheField name="FY" numFmtId="0">
      <sharedItems containsBlank="1"/>
    </cacheField>
    <cacheField name="ECM Link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3">
  <r>
    <x v="0"/>
    <x v="0"/>
    <n v="4"/>
    <d v="2025-10-19T00:00:00"/>
    <n v="2"/>
    <n v="100"/>
    <n v="200"/>
    <s v="26PRJA"/>
    <s v="10WA40288001310000"/>
    <s v="WA571"/>
    <s v=""/>
    <s v="10992"/>
    <s v="Daniel Robert Drummond"/>
    <s v="TC"/>
    <s v=""/>
    <m/>
    <m/>
    <s v="10992/19/10/2025/10/1"/>
    <s v="DETAILED COST POSTING"/>
    <s v=""/>
    <s v="Daniel Robert Drummond"/>
    <x v="0"/>
    <m/>
    <m/>
  </r>
  <r>
    <x v="1"/>
    <x v="0"/>
    <n v="6"/>
    <d v="2025-11-30T00:00:00"/>
    <n v="1"/>
    <n v="0"/>
    <n v="840"/>
    <s v="26PRJA"/>
    <s v="10WA40288001250000"/>
    <s v="WA571"/>
    <s v=""/>
    <s v="255"/>
    <s v="Contractors Payments"/>
    <s v="AP"/>
    <s v=""/>
    <m/>
    <m/>
    <s v="26-056"/>
    <s v="PP02"/>
    <s v="Flex Projects L"/>
    <m/>
    <x v="1"/>
    <s v="https://npdc.t1cloud.com/T1Default/CiAnywhere/Web/NPDC/ECMCore/Rendition/Get?docsetid=9663980&amp;renditionType=pdf&amp;suite=ECM"/>
    <m/>
  </r>
  <r>
    <x v="1"/>
    <x v="1"/>
    <n v="6"/>
    <d v="2025-12-28T00:00:00"/>
    <n v="2"/>
    <n v="155"/>
    <n v="310"/>
    <s v="26PRJA"/>
    <s v="10WA40288001310000"/>
    <s v="WA571"/>
    <s v=""/>
    <s v="10664"/>
    <s v="Scott Ryan"/>
    <s v="TC"/>
    <s v=""/>
    <m/>
    <m/>
    <s v="10664/28/12/2025/13/1"/>
    <s v="DETAILED COST POSTING"/>
    <s v=""/>
    <s v="Scott Ryan"/>
    <x v="2"/>
    <m/>
    <m/>
  </r>
  <r>
    <x v="1"/>
    <x v="1"/>
    <n v="6"/>
    <d v="2025-12-28T00:00:00"/>
    <n v="2"/>
    <n v="155"/>
    <n v="310"/>
    <s v="26PRJA"/>
    <s v="10WA40288001310000"/>
    <s v="WA571"/>
    <s v=""/>
    <s v="10664"/>
    <s v="Scott Ryan"/>
    <s v="TC"/>
    <s v=""/>
    <m/>
    <m/>
    <s v="10664/28/12/2025/5/1"/>
    <s v="DETAILED COST POSTING"/>
    <s v=""/>
    <s v="Scott Ryan"/>
    <x v="2"/>
    <m/>
    <m/>
  </r>
  <r>
    <x v="2"/>
    <x v="0"/>
    <n v="7"/>
    <d v="2025-12-31T00:00:00"/>
    <n v="1"/>
    <n v="0"/>
    <n v="2240"/>
    <s v="26PRJA"/>
    <s v="10WA40288001250000"/>
    <s v="WA571"/>
    <s v=""/>
    <s v="255"/>
    <s v="Contractors Payments"/>
    <s v="AP"/>
    <s v=""/>
    <m/>
    <m/>
    <s v="26-056"/>
    <s v="PP03"/>
    <s v="Flex Projects L"/>
    <m/>
    <x v="1"/>
    <s v="https://npdc.t1cloud.com/T1Default/CiAnywhere/Web/NPDC/ECMCore/Rendition/Get?docsetid=9684330&amp;renditionType=pdf&amp;suite=ECM"/>
    <m/>
  </r>
  <r>
    <x v="2"/>
    <x v="0"/>
    <n v="7"/>
    <d v="2026-01-25T00:00:00"/>
    <n v="2"/>
    <n v="150"/>
    <n v="300"/>
    <s v="26PRJA"/>
    <s v="10WA40288001310000"/>
    <s v="WA571"/>
    <s v=""/>
    <s v="10732"/>
    <s v="Stanley Drake"/>
    <s v="TC"/>
    <s v=""/>
    <m/>
    <m/>
    <s v="10732/25/01/2026/1/1"/>
    <s v="DETAILED COST POSTING"/>
    <s v=""/>
    <s v="Stanley Drake"/>
    <x v="3"/>
    <m/>
    <m/>
  </r>
  <r>
    <x v="2"/>
    <x v="0"/>
    <n v="7"/>
    <d v="2026-01-25T00:00:00"/>
    <n v="8"/>
    <n v="150"/>
    <n v="1200"/>
    <s v="26PRJA"/>
    <s v="10WA40288001310000"/>
    <s v="WA571"/>
    <s v=""/>
    <s v="10732"/>
    <s v="Stanley Drake"/>
    <s v="TC"/>
    <s v=""/>
    <m/>
    <m/>
    <s v="10732/25/01/2026/2/1"/>
    <s v="DETAILED COST POSTING"/>
    <s v=""/>
    <s v="Stanley Drake"/>
    <x v="3"/>
    <m/>
    <m/>
  </r>
  <r>
    <x v="2"/>
    <x v="1"/>
    <n v="7"/>
    <d v="2026-01-25T00:00:00"/>
    <n v="1"/>
    <n v="150"/>
    <n v="150"/>
    <s v="26PRJA"/>
    <s v="10WA40288001310000"/>
    <s v="WA571"/>
    <s v=""/>
    <s v="10593"/>
    <s v="Gregory Parkin"/>
    <s v="TC"/>
    <s v=""/>
    <m/>
    <m/>
    <s v="10593/25/01/2026/44/1"/>
    <s v="DETAILED COST POSTING"/>
    <s v=""/>
    <s v="Gregory Parkin"/>
    <x v="4"/>
    <m/>
    <m/>
  </r>
  <r>
    <x v="2"/>
    <x v="1"/>
    <n v="7"/>
    <d v="2026-01-25T00:00:00"/>
    <n v="1"/>
    <n v="150"/>
    <n v="150"/>
    <s v="26PRJA"/>
    <s v="10WA40288001310000"/>
    <s v="WA571"/>
    <s v=""/>
    <s v="10593"/>
    <s v="Gregory Parkin"/>
    <s v="TC"/>
    <s v=""/>
    <m/>
    <m/>
    <s v="10593/25/01/2026/45/1"/>
    <s v="DETAILED COST POSTING"/>
    <s v=""/>
    <s v="Gregory Parkin"/>
    <x v="4"/>
    <m/>
    <m/>
  </r>
  <r>
    <x v="2"/>
    <x v="1"/>
    <n v="7"/>
    <d v="2026-01-25T00:00:00"/>
    <n v="1"/>
    <n v="150"/>
    <n v="150"/>
    <s v="26PRJA"/>
    <s v="10WA40288001310000"/>
    <s v="WA571"/>
    <s v=""/>
    <s v="10593"/>
    <s v="Gregory Parkin"/>
    <s v="TC"/>
    <s v=""/>
    <m/>
    <m/>
    <s v="10593/25/01/2026/46/1"/>
    <s v="DETAILED COST POSTING"/>
    <s v=""/>
    <s v="Gregory Parkin"/>
    <x v="4"/>
    <m/>
    <m/>
  </r>
  <r>
    <x v="2"/>
    <x v="1"/>
    <n v="7"/>
    <d v="2026-01-25T00:00:00"/>
    <n v="4"/>
    <n v="150"/>
    <n v="600"/>
    <s v="26PRJA"/>
    <s v="10WA40288001310000"/>
    <s v="WA571"/>
    <s v=""/>
    <s v="10593"/>
    <s v="Gregory Parkin"/>
    <s v="TC"/>
    <s v=""/>
    <m/>
    <m/>
    <s v="10593/25/01/2026/47/1"/>
    <s v="DETAILED COST POSTING"/>
    <s v=""/>
    <s v="Gregory Parkin"/>
    <x v="4"/>
    <m/>
    <m/>
  </r>
  <r>
    <x v="2"/>
    <x v="1"/>
    <n v="7"/>
    <d v="2026-01-25T00:00:00"/>
    <n v="3"/>
    <n v="155"/>
    <n v="465"/>
    <s v="26PRJA"/>
    <s v="10WA40288001310000"/>
    <s v="WA571"/>
    <s v=""/>
    <s v="10664"/>
    <s v="Scott Ryan"/>
    <s v="TC"/>
    <s v=""/>
    <m/>
    <m/>
    <s v="10664/25/01/2026/4/1"/>
    <s v="DETAILED COST POSTING"/>
    <s v=""/>
    <s v="Scott Ryan"/>
    <x v="2"/>
    <m/>
    <m/>
  </r>
  <r>
    <x v="2"/>
    <x v="1"/>
    <n v="7"/>
    <d v="2026-01-25T00:00:00"/>
    <n v="3"/>
    <n v="155"/>
    <n v="465"/>
    <s v="26PRJA"/>
    <s v="10WA40288001310000"/>
    <s v="WA571"/>
    <s v=""/>
    <s v="10664"/>
    <s v="Scott Ryan"/>
    <s v="TC"/>
    <s v=""/>
    <m/>
    <m/>
    <s v="10664/25/01/2026/5/1"/>
    <s v="DETAILED COST POSTING"/>
    <s v=""/>
    <s v="Scott Ryan"/>
    <x v="2"/>
    <m/>
    <m/>
  </r>
  <r>
    <x v="2"/>
    <x v="1"/>
    <n v="7"/>
    <d v="2026-01-25T00:00:00"/>
    <n v="3"/>
    <n v="155"/>
    <n v="465"/>
    <s v="26PRJA"/>
    <s v="10WA40288001310000"/>
    <s v="WA571"/>
    <s v=""/>
    <s v="10664"/>
    <s v="Scott Ryan"/>
    <s v="TC"/>
    <s v=""/>
    <m/>
    <m/>
    <s v="10664/25/01/2026/6/1"/>
    <s v="DETAILED COST POSTING"/>
    <s v=""/>
    <s v="Scott Ryan"/>
    <x v="2"/>
    <m/>
    <m/>
  </r>
  <r>
    <x v="2"/>
    <x v="1"/>
    <n v="7"/>
    <d v="2026-01-25T00:00:00"/>
    <n v="3"/>
    <n v="155"/>
    <n v="465"/>
    <s v="26PRJA"/>
    <s v="10WA40288001310000"/>
    <s v="WA571"/>
    <s v=""/>
    <s v="10664"/>
    <s v="Scott Ryan"/>
    <s v="TC"/>
    <s v=""/>
    <m/>
    <m/>
    <s v="10664/25/01/2026/7/1"/>
    <s v="DETAILED COST POSTING"/>
    <s v=""/>
    <s v="Scott Ryan"/>
    <x v="2"/>
    <m/>
    <m/>
  </r>
  <r>
    <x v="2"/>
    <x v="1"/>
    <n v="7"/>
    <d v="2026-01-25T00:00:00"/>
    <n v="2"/>
    <n v="155"/>
    <n v="310"/>
    <s v="26PRJA"/>
    <s v="10WA40288001310000"/>
    <s v="WA571"/>
    <s v=""/>
    <s v="10664"/>
    <s v="Scott Ryan"/>
    <s v="TC"/>
    <s v=""/>
    <m/>
    <m/>
    <s v="10664/25/01/2026/8/1"/>
    <s v="DETAILED COST POSTING"/>
    <s v=""/>
    <s v="Scott Ryan"/>
    <x v="2"/>
    <m/>
    <m/>
  </r>
  <r>
    <x v="3"/>
    <x v="0"/>
    <n v="8"/>
    <d v="2026-01-31T00:00:00"/>
    <n v="1"/>
    <n v="0"/>
    <n v="4060"/>
    <s v="26PRJA"/>
    <s v="10WA40288001250000"/>
    <s v="WA571"/>
    <s v=""/>
    <s v="255"/>
    <s v="Contractors Payments"/>
    <s v="AP"/>
    <s v=""/>
    <m/>
    <m/>
    <s v="26-056"/>
    <s v="PP03"/>
    <s v="Flex Projects L"/>
    <m/>
    <x v="1"/>
    <s v="https://npdc.t1cloud.com/T1Default/CiAnywhere/Web/NPDC/ECMCore/Rendition/Get?docsetid=9704379&amp;renditionType=pdf&amp;suite=ECM"/>
    <m/>
  </r>
  <r>
    <x v="3"/>
    <x v="0"/>
    <n v="8"/>
    <d v="2026-02-08T00:00:00"/>
    <n v="2"/>
    <n v="150"/>
    <n v="300"/>
    <s v="26PRJA"/>
    <s v="10WA40288001310000"/>
    <s v="WA571"/>
    <s v=""/>
    <s v="10732"/>
    <s v="Stanley Drake"/>
    <s v="TC"/>
    <s v=""/>
    <m/>
    <m/>
    <s v="10732/08/02/2026/1/1"/>
    <s v="DETAILED COST POSTING"/>
    <s v=""/>
    <s v="Stanley Drake"/>
    <x v="3"/>
    <m/>
    <m/>
  </r>
  <r>
    <x v="3"/>
    <x v="0"/>
    <n v="8"/>
    <d v="2026-02-08T00:00:00"/>
    <n v="3"/>
    <n v="150"/>
    <n v="450"/>
    <s v="26PRJA"/>
    <s v="10WA40288001310000"/>
    <s v="WA571"/>
    <s v=""/>
    <s v="10732"/>
    <s v="Stanley Drake"/>
    <s v="TC"/>
    <s v=""/>
    <m/>
    <m/>
    <s v="10732/08/02/2026/13/1"/>
    <s v="DETAILED COST POSTING"/>
    <s v=""/>
    <s v="Stanley Drake"/>
    <x v="3"/>
    <m/>
    <m/>
  </r>
  <r>
    <x v="3"/>
    <x v="0"/>
    <n v="8"/>
    <d v="2026-02-08T00:00:00"/>
    <n v="3"/>
    <n v="150"/>
    <n v="450"/>
    <s v="26PRJA"/>
    <s v="10WA40288001310000"/>
    <s v="WA571"/>
    <s v=""/>
    <s v="10732"/>
    <s v="Stanley Drake"/>
    <s v="TC"/>
    <s v=""/>
    <m/>
    <m/>
    <s v="10732/08/02/2026/17/1"/>
    <s v="DETAILED COST POSTING"/>
    <s v=""/>
    <s v="Stanley Drake"/>
    <x v="3"/>
    <m/>
    <s v="https://npdc.t1cloud.com/T1Default/CiAnywhere/Web/NPDC/ECMCore/Rendition/Get?docsetid=7597308&amp;renditionType=pdf&amp;suite=ECM"/>
  </r>
  <r>
    <x v="3"/>
    <x v="0"/>
    <n v="8"/>
    <d v="2026-02-08T00:00:00"/>
    <n v="3"/>
    <n v="150"/>
    <n v="450"/>
    <s v="26PRJA"/>
    <s v="10WA40288001310000"/>
    <s v="WA571"/>
    <s v=""/>
    <s v="10732"/>
    <s v="Stanley Drake"/>
    <s v="TC"/>
    <s v=""/>
    <m/>
    <m/>
    <s v="10732/08/02/2026/20/1"/>
    <s v="DETAILED COST POSTING"/>
    <s v=""/>
    <s v="Stanley Drake"/>
    <x v="3"/>
    <m/>
    <s v="https://npdc.t1cloud.com/T1Default/CiAnywhere/Web/NPDC/ECMCore/Rendition/Get?docsetid=7611381&amp;renditionType=pdf&amp;suite=ECM"/>
  </r>
  <r>
    <x v="3"/>
    <x v="0"/>
    <n v="8"/>
    <d v="2026-02-08T00:00:00"/>
    <n v="6"/>
    <n v="150"/>
    <n v="900"/>
    <s v="26PRJA"/>
    <s v="10WA40288001310000"/>
    <s v="WA571"/>
    <s v=""/>
    <s v="10732"/>
    <s v="Stanley Drake"/>
    <s v="TC"/>
    <s v=""/>
    <m/>
    <m/>
    <s v="10732/08/02/2026/23/1"/>
    <s v="DETAILED COST POSTING"/>
    <s v=""/>
    <s v="Stanley Drake"/>
    <x v="3"/>
    <m/>
    <m/>
  </r>
  <r>
    <x v="3"/>
    <x v="0"/>
    <n v="8"/>
    <d v="2026-02-08T00:00:00"/>
    <n v="5"/>
    <n v="150"/>
    <n v="750"/>
    <s v="26PRJA"/>
    <s v="10WA40288001310000"/>
    <s v="WA571"/>
    <s v=""/>
    <s v="10732"/>
    <s v="Stanley Drake"/>
    <s v="TC"/>
    <s v=""/>
    <m/>
    <m/>
    <s v="10732/08/02/2026/26/1"/>
    <s v="DETAILED COST POSTING"/>
    <s v=""/>
    <s v="Stanley Drake"/>
    <x v="3"/>
    <m/>
    <m/>
  </r>
  <r>
    <x v="3"/>
    <x v="0"/>
    <n v="8"/>
    <d v="2026-02-08T00:00:00"/>
    <n v="3"/>
    <n v="150"/>
    <n v="450"/>
    <s v="26PRJA"/>
    <s v="10WA40288001310000"/>
    <s v="WA571"/>
    <s v=""/>
    <s v="10732"/>
    <s v="Stanley Drake"/>
    <s v="TC"/>
    <s v=""/>
    <m/>
    <m/>
    <s v="10732/08/02/2026/5/1"/>
    <s v="DETAILED COST POSTING"/>
    <s v=""/>
    <s v="Stanley Drake"/>
    <x v="3"/>
    <m/>
    <m/>
  </r>
  <r>
    <x v="3"/>
    <x v="0"/>
    <n v="8"/>
    <d v="2026-02-08T00:00:00"/>
    <n v="3"/>
    <n v="150"/>
    <n v="450"/>
    <s v="26PRJA"/>
    <s v="10WA40288001310000"/>
    <s v="WA571"/>
    <s v=""/>
    <s v="10732"/>
    <s v="Stanley Drake"/>
    <s v="TC"/>
    <s v=""/>
    <m/>
    <m/>
    <s v="10732/08/02/2026/9/1"/>
    <s v="DETAILED COST POSTING"/>
    <s v=""/>
    <s v="Stanley Drake"/>
    <x v="3"/>
    <m/>
    <m/>
  </r>
  <r>
    <x v="3"/>
    <x v="0"/>
    <n v="8"/>
    <d v="2026-02-22T00:00:00"/>
    <n v="4"/>
    <n v="150"/>
    <n v="600"/>
    <s v="26PRJA"/>
    <s v="10WA40288001310000"/>
    <s v="WA571"/>
    <s v=""/>
    <s v="10732"/>
    <s v="Stanley Drake"/>
    <s v="TC"/>
    <s v=""/>
    <m/>
    <m/>
    <s v="10732/22/02/2026/1/1"/>
    <s v="DETAILED COST POSTING"/>
    <s v=""/>
    <s v="Stanley Drake"/>
    <x v="3"/>
    <m/>
    <m/>
  </r>
  <r>
    <x v="3"/>
    <x v="0"/>
    <n v="8"/>
    <d v="2026-02-22T00:00:00"/>
    <n v="4"/>
    <n v="150"/>
    <n v="600"/>
    <s v="26PRJA"/>
    <s v="10WA40288001310000"/>
    <s v="WA571"/>
    <s v=""/>
    <s v="10732"/>
    <s v="Stanley Drake"/>
    <s v="TC"/>
    <s v=""/>
    <m/>
    <m/>
    <s v="10732/22/02/2026/10/1"/>
    <s v="DETAILED COST POSTING"/>
    <s v=""/>
    <s v="Stanley Drake"/>
    <x v="3"/>
    <m/>
    <m/>
  </r>
  <r>
    <x v="3"/>
    <x v="0"/>
    <n v="8"/>
    <d v="2026-02-22T00:00:00"/>
    <n v="4"/>
    <n v="150"/>
    <n v="600"/>
    <s v="26PRJA"/>
    <s v="10WA40288001310000"/>
    <s v="WA571"/>
    <s v=""/>
    <s v="10732"/>
    <s v="Stanley Drake"/>
    <s v="TC"/>
    <s v=""/>
    <m/>
    <m/>
    <s v="10732/22/02/2026/14/1"/>
    <s v="DETAILED COST POSTING"/>
    <s v=""/>
    <s v="Stanley Drake"/>
    <x v="3"/>
    <m/>
    <m/>
  </r>
  <r>
    <x v="3"/>
    <x v="0"/>
    <n v="8"/>
    <d v="2026-02-22T00:00:00"/>
    <n v="2"/>
    <n v="150"/>
    <n v="300"/>
    <s v="26PRJA"/>
    <s v="10WA40288001310000"/>
    <s v="WA571"/>
    <s v=""/>
    <s v="10732"/>
    <s v="Stanley Drake"/>
    <s v="TC"/>
    <s v=""/>
    <m/>
    <m/>
    <s v="10732/22/02/2026/18/1"/>
    <s v="DETAILED COST POSTING"/>
    <s v=""/>
    <s v="Stanley Drake"/>
    <x v="3"/>
    <m/>
    <m/>
  </r>
  <r>
    <x v="3"/>
    <x v="0"/>
    <n v="8"/>
    <d v="2026-02-22T00:00:00"/>
    <n v="2"/>
    <n v="150"/>
    <n v="300"/>
    <s v="26PRJA"/>
    <s v="10WA40288001310000"/>
    <s v="WA571"/>
    <s v=""/>
    <s v="10732"/>
    <s v="Stanley Drake"/>
    <s v="TC"/>
    <s v=""/>
    <m/>
    <m/>
    <s v="10732/22/02/2026/2/1"/>
    <s v="DETAILED COST POSTING"/>
    <s v=""/>
    <s v="Stanley Drake"/>
    <x v="3"/>
    <m/>
    <m/>
  </r>
  <r>
    <x v="3"/>
    <x v="0"/>
    <n v="8"/>
    <d v="2026-02-22T00:00:00"/>
    <n v="2"/>
    <n v="150"/>
    <n v="300"/>
    <s v="26PRJA"/>
    <s v="10WA40288001310000"/>
    <s v="WA571"/>
    <s v=""/>
    <s v="10732"/>
    <s v="Stanley Drake"/>
    <s v="TC"/>
    <s v=""/>
    <m/>
    <m/>
    <s v="10732/22/02/2026/22/1"/>
    <s v="DETAILED COST POSTING"/>
    <s v=""/>
    <s v="Stanley Drake"/>
    <x v="3"/>
    <m/>
    <m/>
  </r>
  <r>
    <x v="3"/>
    <x v="0"/>
    <n v="8"/>
    <d v="2026-02-22T00:00:00"/>
    <n v="2"/>
    <n v="150"/>
    <n v="300"/>
    <s v="26PRJA"/>
    <s v="10WA40288001310000"/>
    <s v="WA571"/>
    <s v=""/>
    <s v="10732"/>
    <s v="Stanley Drake"/>
    <s v="TC"/>
    <s v=""/>
    <m/>
    <m/>
    <s v="10732/22/02/2026/26/1"/>
    <s v="DETAILED COST POSTING"/>
    <s v=""/>
    <s v="Stanley Drake"/>
    <x v="3"/>
    <m/>
    <s v="https://npdc.t1cloud.com/T1Default/CiAnywhere/Web/NPDC/ECMCore/Rendition/Get?docsetid=7642813&amp;renditionType=pdf&amp;suite=ECM"/>
  </r>
  <r>
    <x v="3"/>
    <x v="0"/>
    <n v="8"/>
    <d v="2026-02-22T00:00:00"/>
    <n v="2"/>
    <n v="150"/>
    <n v="300"/>
    <s v="26PRJA"/>
    <s v="10WA40288001310000"/>
    <s v="WA571"/>
    <s v=""/>
    <s v="10732"/>
    <s v="Stanley Drake"/>
    <s v="TC"/>
    <s v=""/>
    <m/>
    <m/>
    <s v="10732/22/02/2026/30/1"/>
    <s v="DETAILED COST POSTING"/>
    <s v=""/>
    <s v="Stanley Drake"/>
    <x v="3"/>
    <m/>
    <m/>
  </r>
  <r>
    <x v="3"/>
    <x v="0"/>
    <n v="8"/>
    <d v="2026-02-22T00:00:00"/>
    <n v="2"/>
    <n v="150"/>
    <n v="300"/>
    <s v="26PRJA"/>
    <s v="10WA40288001310000"/>
    <s v="WA571"/>
    <s v=""/>
    <s v="10732"/>
    <s v="Stanley Drake"/>
    <s v="TC"/>
    <s v=""/>
    <m/>
    <m/>
    <s v="10732/22/02/2026/34/1"/>
    <s v="DETAILED COST POSTING"/>
    <s v=""/>
    <s v="Stanley Drake"/>
    <x v="3"/>
    <m/>
    <m/>
  </r>
  <r>
    <x v="3"/>
    <x v="0"/>
    <n v="8"/>
    <d v="2026-02-22T00:00:00"/>
    <n v="4"/>
    <n v="150"/>
    <n v="600"/>
    <s v="26PRJA"/>
    <s v="10WA40288001310000"/>
    <s v="WA571"/>
    <s v=""/>
    <s v="10732"/>
    <s v="Stanley Drake"/>
    <s v="TC"/>
    <s v=""/>
    <m/>
    <m/>
    <s v="10732/22/02/2026/6/1"/>
    <s v="DETAILED COST POSTING"/>
    <s v=""/>
    <s v="Stanley Drake"/>
    <x v="3"/>
    <m/>
    <m/>
  </r>
  <r>
    <x v="3"/>
    <x v="1"/>
    <n v="8"/>
    <d v="2026-02-08T00:00:00"/>
    <n v="1"/>
    <n v="155"/>
    <n v="155"/>
    <s v="26PRJA"/>
    <s v="10WA40288001310000"/>
    <s v="WA571"/>
    <s v=""/>
    <s v="10664"/>
    <s v="Scott Ryan"/>
    <s v="TC"/>
    <s v=""/>
    <m/>
    <m/>
    <s v="10664/08/02/2026/13/1"/>
    <s v="DETAILED COST POSTING"/>
    <s v=""/>
    <s v="Scott Ryan"/>
    <x v="2"/>
    <m/>
    <m/>
  </r>
  <r>
    <x v="3"/>
    <x v="1"/>
    <n v="8"/>
    <d v="2026-02-22T00:00:00"/>
    <n v="1"/>
    <n v="150"/>
    <n v="150"/>
    <s v="26PRJA"/>
    <s v="10WA40288001310000"/>
    <s v="WA571"/>
    <s v=""/>
    <s v="10593"/>
    <s v="Gregory Parkin"/>
    <s v="TC"/>
    <s v=""/>
    <m/>
    <m/>
    <s v="10593/22/02/2026/23/1"/>
    <s v="DETAILED COST POSTING"/>
    <s v=""/>
    <s v="Gregory Parkin"/>
    <x v="4"/>
    <m/>
    <m/>
  </r>
  <r>
    <x v="3"/>
    <x v="1"/>
    <n v="8"/>
    <d v="2026-02-22T00:00:00"/>
    <n v="1"/>
    <n v="155"/>
    <n v="155"/>
    <s v="26PRJA"/>
    <s v="10WA40288001310000"/>
    <s v="WA571"/>
    <s v=""/>
    <s v="10664"/>
    <s v="Scott Ryan"/>
    <s v="TC"/>
    <s v=""/>
    <m/>
    <m/>
    <s v="10664/22/02/2026/1/1"/>
    <s v="DETAILED COST POSTING"/>
    <s v=""/>
    <s v="Scott Ryan"/>
    <x v="2"/>
    <m/>
    <s v="https://npdc.t1cloud.com/T1Default/CiAnywhere/Web/NPDC/ECMCore/Rendition/Get?docsetid=7662708&amp;renditionType=pdf&amp;suite=ECM"/>
  </r>
  <r>
    <x v="3"/>
    <x v="1"/>
    <n v="8"/>
    <d v="2026-02-22T00:00:00"/>
    <n v="1"/>
    <n v="155"/>
    <n v="155"/>
    <s v="26PRJA"/>
    <s v="10WA40288001310000"/>
    <s v="WA571"/>
    <s v=""/>
    <s v="10664"/>
    <s v="Scott Ryan"/>
    <s v="TC"/>
    <s v=""/>
    <m/>
    <m/>
    <s v="10664/22/02/2026/22/1"/>
    <s v="DETAILED COST POSTING"/>
    <s v=""/>
    <s v="Scott Ryan"/>
    <x v="2"/>
    <m/>
    <m/>
  </r>
  <r>
    <x v="3"/>
    <x v="1"/>
    <n v="8"/>
    <d v="2026-02-22T00:00:00"/>
    <n v="1"/>
    <n v="155"/>
    <n v="155"/>
    <s v="26PRJA"/>
    <s v="10WA40288001310000"/>
    <s v="WA571"/>
    <s v=""/>
    <s v="10664"/>
    <s v="Scott Ryan"/>
    <s v="TC"/>
    <s v=""/>
    <m/>
    <m/>
    <s v="10664/22/02/2026/30/1"/>
    <s v="DETAILED COST POSTING"/>
    <s v=""/>
    <s v="Scott Ryan"/>
    <x v="2"/>
    <m/>
    <m/>
  </r>
  <r>
    <x v="3"/>
    <x v="1"/>
    <n v="8"/>
    <d v="2026-02-22T00:00:00"/>
    <n v="1"/>
    <n v="155"/>
    <n v="155"/>
    <s v="26PRJA"/>
    <s v="10WA40288001310000"/>
    <s v="WA571"/>
    <s v=""/>
    <s v="10664"/>
    <s v="Scott Ryan"/>
    <s v="TC"/>
    <s v=""/>
    <m/>
    <m/>
    <s v="10664/22/02/2026/9/1"/>
    <s v="DETAILED COST POSTING"/>
    <s v=""/>
    <s v="Scott Ryan"/>
    <x v="2"/>
    <m/>
    <m/>
  </r>
  <r>
    <x v="4"/>
    <x v="0"/>
    <n v="9"/>
    <d v="2026-02-28T00:00:00"/>
    <n v="1"/>
    <n v="0"/>
    <n v="280"/>
    <s v="26PRJA"/>
    <s v="10WA40288001250000"/>
    <s v="WA571"/>
    <s v=""/>
    <s v="255"/>
    <s v="Contractors Payments"/>
    <s v="AP"/>
    <s v=""/>
    <m/>
    <m/>
    <s v="26-056"/>
    <s v="PP05"/>
    <s v="Flex Projects L"/>
    <m/>
    <x v="1"/>
    <s v="https://npdc.t1cloud.com/T1Default/CiAnywhere/Web/NPDC/ECMCore/Rendition/Get?docsetid=9731689&amp;renditionType=pdf&amp;suite=ECM"/>
    <s v="https://npdc.t1cloud.com/T1Default/CiAnywhere/Web/NPDC/ECMCore/Rendition/Get?docsetid=7685717&amp;renditionType=pdf&amp;suite=ECM"/>
  </r>
  <r>
    <x v="4"/>
    <x v="0"/>
    <n v="9"/>
    <d v="2026-03-08T00:00:00"/>
    <n v="2"/>
    <n v="150"/>
    <n v="300"/>
    <s v="26PRJA"/>
    <s v="10WA40288001310000"/>
    <s v="WA571"/>
    <s v=""/>
    <s v="10732"/>
    <s v="Stanley Drake"/>
    <s v="TC"/>
    <s v=""/>
    <m/>
    <m/>
    <s v="10732/08/03/2026/1/1"/>
    <s v="DETAILED COST POSTING"/>
    <s v=""/>
    <s v="Stanley Drake"/>
    <x v="3"/>
    <m/>
    <m/>
  </r>
  <r>
    <x v="4"/>
    <x v="0"/>
    <n v="9"/>
    <d v="2026-03-08T00:00:00"/>
    <n v="2"/>
    <n v="150"/>
    <n v="300"/>
    <s v="26PRJA"/>
    <s v="10WA40288001310000"/>
    <s v="WA571"/>
    <s v=""/>
    <s v="10732"/>
    <s v="Stanley Drake"/>
    <s v="TC"/>
    <s v=""/>
    <m/>
    <m/>
    <s v="10732/08/03/2026/13/1"/>
    <s v="DETAILED COST POSTING"/>
    <s v=""/>
    <s v="Stanley Drake"/>
    <x v="3"/>
    <m/>
    <m/>
  </r>
  <r>
    <x v="4"/>
    <x v="0"/>
    <n v="9"/>
    <d v="2026-03-08T00:00:00"/>
    <n v="2"/>
    <n v="150"/>
    <n v="300"/>
    <s v="26PRJA"/>
    <s v="10WA40288001310000"/>
    <s v="WA571"/>
    <s v=""/>
    <s v="10732"/>
    <s v="Stanley Drake"/>
    <s v="TC"/>
    <s v=""/>
    <m/>
    <m/>
    <s v="10732/08/03/2026/17/1"/>
    <s v="DETAILED COST POSTING"/>
    <s v=""/>
    <s v="Stanley Drake"/>
    <x v="3"/>
    <m/>
    <m/>
  </r>
  <r>
    <x v="4"/>
    <x v="0"/>
    <n v="9"/>
    <d v="2026-03-08T00:00:00"/>
    <n v="2"/>
    <n v="150"/>
    <n v="300"/>
    <s v="26PRJA"/>
    <s v="10WA40288001310000"/>
    <s v="WA571"/>
    <s v=""/>
    <s v="10732"/>
    <s v="Stanley Drake"/>
    <s v="TC"/>
    <s v=""/>
    <m/>
    <m/>
    <s v="10732/08/03/2026/20/1"/>
    <s v="DETAILED COST POSTING"/>
    <s v=""/>
    <s v="Stanley Drake"/>
    <x v="3"/>
    <m/>
    <m/>
  </r>
  <r>
    <x v="4"/>
    <x v="0"/>
    <n v="9"/>
    <d v="2026-03-08T00:00:00"/>
    <n v="2"/>
    <n v="150"/>
    <n v="300"/>
    <s v="26PRJA"/>
    <s v="10WA40288001310000"/>
    <s v="WA571"/>
    <s v=""/>
    <s v="10732"/>
    <s v="Stanley Drake"/>
    <s v="TC"/>
    <s v=""/>
    <m/>
    <m/>
    <s v="10732/08/03/2026/24/1"/>
    <s v="DETAILED COST POSTING"/>
    <s v=""/>
    <s v="Stanley Drake"/>
    <x v="3"/>
    <m/>
    <m/>
  </r>
  <r>
    <x v="4"/>
    <x v="0"/>
    <n v="9"/>
    <d v="2026-03-08T00:00:00"/>
    <n v="2"/>
    <n v="150"/>
    <n v="300"/>
    <s v="26PRJA"/>
    <s v="10WA40288001310000"/>
    <s v="WA571"/>
    <s v=""/>
    <s v="10732"/>
    <s v="Stanley Drake"/>
    <s v="TC"/>
    <s v=""/>
    <m/>
    <m/>
    <s v="10732/08/03/2026/28/1"/>
    <s v="DETAILED COST POSTING"/>
    <s v=""/>
    <s v="Stanley Drake"/>
    <x v="3"/>
    <m/>
    <s v="https://npdc.t1cloud.com/T1Default/CiAnywhere/Web/NPDC/ECMCore/Rendition/Get?docsetid=7716321&amp;renditionType=pdf&amp;suite=ECM"/>
  </r>
  <r>
    <x v="4"/>
    <x v="0"/>
    <n v="9"/>
    <d v="2026-03-08T00:00:00"/>
    <n v="2"/>
    <n v="150"/>
    <n v="300"/>
    <s v="26PRJA"/>
    <s v="10WA40288001310000"/>
    <s v="WA571"/>
    <s v=""/>
    <s v="10732"/>
    <s v="Stanley Drake"/>
    <s v="TC"/>
    <s v=""/>
    <m/>
    <m/>
    <s v="10732/08/03/2026/32/1"/>
    <s v="DETAILED COST POSTING"/>
    <s v=""/>
    <s v="Stanley Drake"/>
    <x v="3"/>
    <m/>
    <s v="https://npdc.t1cloud.com/T1Default/CiAnywhere/Web/NPDC/ECMCore/Rendition/Get?docsetid=7737700&amp;renditionType=pdf&amp;suite=ECM"/>
  </r>
  <r>
    <x v="4"/>
    <x v="0"/>
    <n v="9"/>
    <d v="2026-03-08T00:00:00"/>
    <n v="2"/>
    <n v="150"/>
    <n v="300"/>
    <s v="26PRJA"/>
    <s v="10WA40288001310000"/>
    <s v="WA571"/>
    <s v=""/>
    <s v="10732"/>
    <s v="Stanley Drake"/>
    <s v="TC"/>
    <s v=""/>
    <m/>
    <m/>
    <s v="10732/08/03/2026/36/1"/>
    <s v="DETAILED COST POSTING"/>
    <s v=""/>
    <s v="Stanley Drake"/>
    <x v="3"/>
    <m/>
    <m/>
  </r>
  <r>
    <x v="4"/>
    <x v="0"/>
    <n v="9"/>
    <d v="2026-03-08T00:00:00"/>
    <n v="2"/>
    <n v="150"/>
    <n v="300"/>
    <s v="26PRJA"/>
    <s v="10WA40288001310000"/>
    <s v="WA571"/>
    <s v=""/>
    <s v="10732"/>
    <s v="Stanley Drake"/>
    <s v="TC"/>
    <s v=""/>
    <m/>
    <m/>
    <s v="10732/08/03/2026/5/1"/>
    <s v="DETAILED COST POSTING"/>
    <s v=""/>
    <s v="Stanley Drake"/>
    <x v="3"/>
    <m/>
    <m/>
  </r>
  <r>
    <x v="4"/>
    <x v="0"/>
    <n v="9"/>
    <d v="2026-03-08T00:00:00"/>
    <n v="2"/>
    <n v="150"/>
    <n v="300"/>
    <s v="26PRJA"/>
    <s v="10WA40288001310000"/>
    <s v="WA571"/>
    <s v=""/>
    <s v="10732"/>
    <s v="Stanley Drake"/>
    <s v="TC"/>
    <s v=""/>
    <m/>
    <m/>
    <s v="10732/08/03/2026/9/1"/>
    <s v="DETAILED COST POSTING"/>
    <s v=""/>
    <s v="Stanley Drake"/>
    <x v="3"/>
    <m/>
    <m/>
  </r>
  <r>
    <x v="4"/>
    <x v="0"/>
    <n v="9"/>
    <d v="2026-03-22T00:00:00"/>
    <n v="2"/>
    <n v="150"/>
    <n v="300"/>
    <s v="26PRJA"/>
    <s v="10WA40288001310000"/>
    <s v="WA571"/>
    <s v=""/>
    <s v="10732"/>
    <s v="Stanley Drake"/>
    <s v="TC"/>
    <s v=""/>
    <m/>
    <m/>
    <s v="10732/22/03/2026/1/1"/>
    <s v="DETAILED COST POSTING"/>
    <s v=""/>
    <s v="Stanley Drake"/>
    <x v="3"/>
    <m/>
    <s v="https://npdc.t1cloud.com/T1Default/CiAnywhere/Web/NPDC/ECMCore/Rendition/Get?docsetid=7740309&amp;renditionType=pdf&amp;suite=ECM"/>
  </r>
  <r>
    <x v="4"/>
    <x v="0"/>
    <n v="9"/>
    <d v="2026-03-22T00:00:00"/>
    <n v="2"/>
    <n v="150"/>
    <n v="300"/>
    <s v="26PRJA"/>
    <s v="10WA40288001310000"/>
    <s v="WA571"/>
    <s v=""/>
    <s v="10732"/>
    <s v="Stanley Drake"/>
    <s v="TC"/>
    <s v=""/>
    <m/>
    <m/>
    <s v="10732/22/03/2026/2/1"/>
    <s v="DETAILED COST POSTING"/>
    <s v=""/>
    <s v="Stanley Drake"/>
    <x v="3"/>
    <m/>
    <s v="https://npdc.t1cloud.com/T1Default/CiAnywhere/Web/NPDC/ECMCore/Rendition/Get?docsetid=7738355&amp;renditionType=pdf&amp;suite=ECM"/>
  </r>
  <r>
    <x v="4"/>
    <x v="0"/>
    <n v="9"/>
    <d v="2026-03-22T00:00:00"/>
    <n v="2"/>
    <n v="150"/>
    <n v="300"/>
    <s v="26PRJA"/>
    <s v="10WA40288001310000"/>
    <s v="WA571"/>
    <s v=""/>
    <s v="10732"/>
    <s v="Stanley Drake"/>
    <s v="TC"/>
    <s v=""/>
    <m/>
    <m/>
    <s v="10732/22/03/2026/3/1"/>
    <s v="DETAILED COST POSTING"/>
    <s v=""/>
    <s v="Stanley Drake"/>
    <x v="3"/>
    <m/>
    <s v="https://npdc.t1cloud.com/T1Default/CiAnywhere/Web/NPDC/ECMCore/Rendition/Get?docsetid=7763681&amp;renditionType=pdf&amp;suite=ECM"/>
  </r>
  <r>
    <x v="4"/>
    <x v="0"/>
    <n v="9"/>
    <d v="2026-03-22T00:00:00"/>
    <n v="2"/>
    <n v="150"/>
    <n v="300"/>
    <s v="26PRJA"/>
    <s v="10WA40288001310000"/>
    <s v="WA571"/>
    <s v=""/>
    <s v="10732"/>
    <s v="Stanley Drake"/>
    <s v="TC"/>
    <s v=""/>
    <m/>
    <m/>
    <s v="10732/22/03/2026/4/1"/>
    <s v="DETAILED COST POSTING"/>
    <s v=""/>
    <s v="Stanley Drake"/>
    <x v="3"/>
    <m/>
    <m/>
  </r>
  <r>
    <x v="4"/>
    <x v="0"/>
    <n v="9"/>
    <d v="2026-03-22T00:00:00"/>
    <n v="2"/>
    <n v="150"/>
    <n v="300"/>
    <s v="26PRJA"/>
    <s v="10WA40288001310000"/>
    <s v="WA571"/>
    <s v=""/>
    <s v="10732"/>
    <s v="Stanley Drake"/>
    <s v="TC"/>
    <s v=""/>
    <m/>
    <m/>
    <s v="10732/22/03/2026/5/1"/>
    <s v="DETAILED COST POSTING"/>
    <s v=""/>
    <s v="Stanley Drake"/>
    <x v="3"/>
    <m/>
    <s v="https://npdc.t1cloud.com/T1Default/CiAnywhere/Web/NPDC/ECMCore/Rendition/Get?docsetid=7763683&amp;renditionType=pdf&amp;suite=ECM"/>
  </r>
  <r>
    <x v="4"/>
    <x v="0"/>
    <n v="9"/>
    <d v="2026-03-22T00:00:00"/>
    <n v="1"/>
    <n v="150"/>
    <n v="150"/>
    <s v="26PRJA"/>
    <s v="10WA40288001310000"/>
    <s v="WA571"/>
    <s v=""/>
    <s v="10732"/>
    <s v="Stanley Drake"/>
    <s v="TC"/>
    <s v=""/>
    <m/>
    <m/>
    <s v="10732/22/03/2026/6/1"/>
    <s v="DETAILED COST POSTING"/>
    <s v=""/>
    <s v="Stanley Drake"/>
    <x v="3"/>
    <m/>
    <s v="https://npdc.t1cloud.com/T1Default/CiAnywhere/Web/NPDC/ECMCore/Rendition/Get?docsetid=7768157&amp;renditionType=pdf&amp;suite=ECM"/>
  </r>
  <r>
    <x v="4"/>
    <x v="0"/>
    <n v="9"/>
    <d v="2026-03-22T00:00:00"/>
    <n v="1"/>
    <n v="150"/>
    <n v="150"/>
    <s v="26PRJA"/>
    <s v="10WA40288001310000"/>
    <s v="WA571"/>
    <s v=""/>
    <s v="10732"/>
    <s v="Stanley Drake"/>
    <s v="TC"/>
    <s v=""/>
    <m/>
    <m/>
    <s v="10732/22/03/2026/7/1"/>
    <s v="DETAILED COST POSTING"/>
    <s v=""/>
    <s v="Stanley Drake"/>
    <x v="3"/>
    <m/>
    <s v="https://npdc.t1cloud.com/T1Default/CiAnywhere/Web/NPDC/ECMCore/Rendition/Get?docsetid=7788109&amp;renditionType=pdf&amp;suite=ECM"/>
  </r>
  <r>
    <x v="4"/>
    <x v="0"/>
    <n v="9"/>
    <d v="2026-03-22T00:00:00"/>
    <n v="1"/>
    <n v="150"/>
    <n v="150"/>
    <s v="26PRJA"/>
    <s v="10WA40288001310000"/>
    <s v="WA571"/>
    <s v=""/>
    <s v="10732"/>
    <s v="Stanley Drake"/>
    <s v="TC"/>
    <s v=""/>
    <m/>
    <m/>
    <s v="10732/22/03/2026/8/1"/>
    <s v="DETAILED COST POSTING"/>
    <s v=""/>
    <s v="Stanley Drake"/>
    <x v="3"/>
    <m/>
    <m/>
  </r>
  <r>
    <x v="4"/>
    <x v="0"/>
    <n v="9"/>
    <d v="2026-03-22T00:00:00"/>
    <n v="1"/>
    <n v="150"/>
    <n v="150"/>
    <s v="26PRJA"/>
    <s v="10WA40288001310000"/>
    <s v="WA571"/>
    <s v=""/>
    <s v="10732"/>
    <s v="Stanley Drake"/>
    <s v="TC"/>
    <s v=""/>
    <m/>
    <m/>
    <s v="10732/22/03/2026/9/1"/>
    <s v="DETAILED COST POSTING"/>
    <s v=""/>
    <s v="Stanley Drake"/>
    <x v="3"/>
    <m/>
    <m/>
  </r>
  <r>
    <x v="4"/>
    <x v="1"/>
    <n v="9"/>
    <d v="2026-03-22T00:00:00"/>
    <n v="1"/>
    <n v="155"/>
    <n v="155"/>
    <s v="26PRJA"/>
    <s v="10WA40288001310000"/>
    <s v="WA571"/>
    <s v=""/>
    <s v="10664"/>
    <s v="Scott Ryan"/>
    <s v="TC"/>
    <s v=""/>
    <m/>
    <m/>
    <s v="10664/22/03/2026/6/1"/>
    <s v="DETAILED COST POSTING"/>
    <s v=""/>
    <s v="Scott Ryan"/>
    <x v="2"/>
    <m/>
    <m/>
  </r>
  <r>
    <x v="4"/>
    <x v="1"/>
    <n v="9"/>
    <d v="2026-03-22T00:00:00"/>
    <n v="1"/>
    <n v="155"/>
    <n v="155"/>
    <s v="26PRJA"/>
    <s v="10WA40288001310000"/>
    <s v="WA571"/>
    <s v=""/>
    <s v="10664"/>
    <s v="Scott Ryan"/>
    <s v="TC"/>
    <s v=""/>
    <m/>
    <m/>
    <s v="10664/22/03/2026/7/1"/>
    <s v="DETAILED COST POSTING"/>
    <s v=""/>
    <s v="Scott Ryan"/>
    <x v="2"/>
    <m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78826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812549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814984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812594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83745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837510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84728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86501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856682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865070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869512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892133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905670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904110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929920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929987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931516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95090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951500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951026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97252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972737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972560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996403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7996447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001881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028849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03065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02886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05249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054308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052518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055982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081136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086827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081180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110983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118904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313514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328909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892363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915378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924618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924618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899316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019069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019096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034042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047781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069653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100639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112570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199887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191426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185378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17611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22595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234487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231561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249057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248456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268074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26807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275106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27190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28865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29485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288694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319723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355781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339313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344097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355796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359708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391947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393078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413646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423523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407925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425666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421937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423527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442081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446251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449529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453733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m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477268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477249&amp;renditionType=pdf&amp;suite=ECM"/>
  </r>
  <r>
    <x v="5"/>
    <x v="2"/>
    <m/>
    <m/>
    <m/>
    <m/>
    <m/>
    <m/>
    <m/>
    <m/>
    <m/>
    <m/>
    <m/>
    <m/>
    <m/>
    <m/>
    <m/>
    <m/>
    <m/>
    <m/>
    <m/>
    <x v="5"/>
    <s v=""/>
    <s v="https://npdc.t1cloud.com/T1Default/CiAnywhere/Web/NPDC/ECMCore/Rendition/Get?docsetid=9483031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493432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20739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31500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25608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09314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16160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32833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30971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31910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56970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62529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67741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57065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94609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78822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99607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95098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635978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599273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640397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660539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604320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604320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660825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661366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663998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660905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610922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656553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662571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660916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s v="https://npdc.t1cloud.com/T1Default/CiAnywhere/Web/NPDC/ECMCore/Rendition/Get?docsetid=9661395&amp;renditionType=pdf&amp;suite=ECM"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s v="https://npdc.t1cloud.com/T1Default/CiAnywhere/Web/NPDC/ECMCore/Rendition/Get?docsetid=9720307&amp;renditionType=pdf&amp;suite=ECM"/>
    <m/>
  </r>
  <r>
    <x v="5"/>
    <x v="2"/>
    <m/>
    <m/>
    <m/>
    <m/>
    <m/>
    <m/>
    <m/>
    <m/>
    <m/>
    <m/>
    <m/>
    <m/>
    <m/>
    <m/>
    <m/>
    <m/>
    <m/>
    <m/>
    <m/>
    <x v="5"/>
    <s v="https://npdc.t1cloud.com/T1Default/CiAnywhere/Web/NPDC/ECMCore/Rendition/Get?docsetid=9720307&amp;renditionType=pdf&amp;suite=ECM"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s v="https://npdc.t1cloud.com/T1Default/CiAnywhere/Web/NPDC/ECMCore/Rendition/Get?docsetid=9720307&amp;renditionType=pdf&amp;suite=ECM"/>
    <m/>
  </r>
  <r>
    <x v="5"/>
    <x v="2"/>
    <m/>
    <m/>
    <m/>
    <m/>
    <m/>
    <m/>
    <m/>
    <m/>
    <m/>
    <m/>
    <m/>
    <m/>
    <m/>
    <m/>
    <m/>
    <m/>
    <m/>
    <m/>
    <m/>
    <x v="5"/>
    <s v="https://npdc.t1cloud.com/T1Default/CiAnywhere/Web/NPDC/ECMCore/Rendition/Get?docsetid=9709234&amp;renditionType=pdf&amp;suite=ECM"/>
    <m/>
  </r>
  <r>
    <x v="5"/>
    <x v="2"/>
    <m/>
    <m/>
    <m/>
    <m/>
    <m/>
    <m/>
    <m/>
    <m/>
    <m/>
    <m/>
    <m/>
    <m/>
    <m/>
    <m/>
    <m/>
    <m/>
    <m/>
    <m/>
    <m/>
    <x v="5"/>
    <s v="https://npdc.t1cloud.com/T1Default/CiAnywhere/Web/NPDC/ECMCore/Rendition/Get?docsetid=9712183&amp;renditionType=pdf&amp;suite=ECM"/>
    <m/>
  </r>
  <r>
    <x v="5"/>
    <x v="2"/>
    <m/>
    <m/>
    <m/>
    <m/>
    <m/>
    <m/>
    <m/>
    <m/>
    <m/>
    <m/>
    <m/>
    <m/>
    <m/>
    <m/>
    <m/>
    <m/>
    <m/>
    <m/>
    <m/>
    <x v="5"/>
    <s v="https://npdc.t1cloud.com/T1Default/CiAnywhere/Web/NPDC/ECMCore/Rendition/Get?docsetid=9728366&amp;renditionType=pdf&amp;suite=ECM"/>
    <m/>
  </r>
  <r>
    <x v="5"/>
    <x v="2"/>
    <m/>
    <m/>
    <m/>
    <m/>
    <m/>
    <m/>
    <m/>
    <m/>
    <m/>
    <m/>
    <m/>
    <m/>
    <m/>
    <m/>
    <m/>
    <m/>
    <m/>
    <m/>
    <m/>
    <x v="5"/>
    <s v="https://npdc.t1cloud.com/T1Default/CiAnywhere/Web/NPDC/ECMCore/Rendition/Get?docsetid=9720307&amp;renditionType=pdf&amp;suite=ECM"/>
    <m/>
  </r>
  <r>
    <x v="5"/>
    <x v="2"/>
    <m/>
    <m/>
    <m/>
    <m/>
    <m/>
    <m/>
    <m/>
    <m/>
    <m/>
    <m/>
    <m/>
    <m/>
    <m/>
    <m/>
    <m/>
    <m/>
    <m/>
    <m/>
    <m/>
    <x v="5"/>
    <s v="https://npdc.t1cloud.com/T1Default/CiAnywhere/Web/NPDC/ECMCore/Rendition/Get?docsetid=9728366&amp;renditionType=pdf&amp;suite=ECM"/>
    <m/>
  </r>
  <r>
    <x v="5"/>
    <x v="2"/>
    <m/>
    <m/>
    <m/>
    <m/>
    <m/>
    <m/>
    <m/>
    <m/>
    <m/>
    <m/>
    <m/>
    <m/>
    <m/>
    <m/>
    <m/>
    <m/>
    <m/>
    <m/>
    <m/>
    <x v="5"/>
    <m/>
    <m/>
  </r>
  <r>
    <x v="5"/>
    <x v="2"/>
    <m/>
    <m/>
    <m/>
    <m/>
    <m/>
    <m/>
    <m/>
    <m/>
    <m/>
    <m/>
    <m/>
    <m/>
    <m/>
    <m/>
    <m/>
    <m/>
    <m/>
    <m/>
    <m/>
    <x v="5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EAD6BC-7C28-4076-B866-D9FC731B125D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H12" firstHeaderRow="1" firstDataRow="2" firstDataCol="1"/>
  <pivotFields count="24">
    <pivotField axis="axisCol" showAll="0">
      <items count="75"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x="0"/>
        <item m="1" x="73"/>
        <item x="1"/>
        <item x="2"/>
        <item x="3"/>
        <item x="5"/>
        <item x="4"/>
        <item m="1" x="6"/>
        <item t="default"/>
      </items>
    </pivotField>
    <pivotField axis="axisRow" showAll="0">
      <items count="13">
        <item m="1" x="6"/>
        <item m="1" x="8"/>
        <item m="1" x="3"/>
        <item m="1" x="4"/>
        <item m="1" x="5"/>
        <item m="1" x="7"/>
        <item m="1" x="9"/>
        <item m="1" x="10"/>
        <item m="1" x="11"/>
        <item x="2"/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6">
        <item m="1" x="21"/>
        <item m="1" x="31"/>
        <item m="1" x="15"/>
        <item m="1" x="9"/>
        <item m="1" x="25"/>
        <item m="1" x="34"/>
        <item m="1" x="30"/>
        <item m="1" x="29"/>
        <item m="1" x="20"/>
        <item m="1" x="12"/>
        <item m="1" x="14"/>
        <item m="1" x="23"/>
        <item m="1" x="6"/>
        <item m="1" x="33"/>
        <item m="1" x="28"/>
        <item m="1" x="8"/>
        <item m="1" x="7"/>
        <item m="1" x="19"/>
        <item m="1" x="26"/>
        <item m="1" x="17"/>
        <item m="1" x="27"/>
        <item x="2"/>
        <item m="1" x="32"/>
        <item x="3"/>
        <item m="1" x="18"/>
        <item m="1" x="10"/>
        <item m="1" x="24"/>
        <item m="1" x="13"/>
        <item m="1" x="16"/>
        <item m="1" x="22"/>
        <item x="5"/>
        <item m="1" x="11"/>
        <item x="0"/>
        <item x="1"/>
        <item x="4"/>
        <item t="default"/>
      </items>
    </pivotField>
    <pivotField showAll="0"/>
    <pivotField showAll="0"/>
  </pivotFields>
  <rowFields count="2">
    <field x="1"/>
    <field x="21"/>
  </rowFields>
  <rowItems count="10">
    <i>
      <x v="9"/>
    </i>
    <i r="1">
      <x v="30"/>
    </i>
    <i>
      <x v="10"/>
    </i>
    <i r="1">
      <x v="23"/>
    </i>
    <i r="1">
      <x v="32"/>
    </i>
    <i r="1">
      <x v="33"/>
    </i>
    <i>
      <x v="11"/>
    </i>
    <i r="1">
      <x v="21"/>
    </i>
    <i r="1">
      <x v="34"/>
    </i>
    <i t="grand">
      <x/>
    </i>
  </rowItems>
  <colFields count="1">
    <field x="0"/>
  </colFields>
  <colItems count="7">
    <i>
      <x v="66"/>
    </i>
    <i>
      <x v="68"/>
    </i>
    <i>
      <x v="69"/>
    </i>
    <i>
      <x v="70"/>
    </i>
    <i>
      <x v="71"/>
    </i>
    <i>
      <x v="72"/>
    </i>
    <i t="grand">
      <x/>
    </i>
  </colItems>
  <dataFields count="1">
    <dataField name="Sum of Amoun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391C1A1-0A6A-44A1-88D4-39A9CFDB0022}" name="Table16" displayName="Table16" ref="C9:G14" totalsRowShown="0" headerRowDxfId="12" dataDxfId="10" headerRowBorderDxfId="11">
  <autoFilter ref="C9:G14" xr:uid="{0391C1A1-0A6A-44A1-88D4-39A9CFDB0022}"/>
  <tableColumns count="5">
    <tableColumn id="1" xr3:uid="{08398573-41F5-4330-B27A-C1F5FB4D410A}" name="As at current period" dataDxfId="9"/>
    <tableColumn id="2" xr3:uid="{3FC93DEC-B63C-4BD1-B54C-A6A1DD83C291}" name=" FY26 " dataDxfId="8" dataCellStyle="Comma"/>
    <tableColumn id="3" xr3:uid="{5A6451A9-AC08-4CB1-AF21-B85C970CD0C1}" name=" FY27 " dataDxfId="7" dataCellStyle="Comma"/>
    <tableColumn id="4" xr3:uid="{04EB5611-268F-493A-8CA4-EFD3BEF6026D}" name=" FY28" dataDxfId="6" dataCellStyle="Comma"/>
    <tableColumn id="5" xr3:uid="{300C61BA-447C-4DBD-9093-44FFC006EA0C}" name=" Totals (FY26 onwards) 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18189B-5F8B-4BD6-AF69-6DC2B94CC57A}" name="Table1" displayName="Table1" ref="B2:E25" totalsRowShown="0">
  <autoFilter ref="B2:E25" xr:uid="{8A18189B-5F8B-4BD6-AF69-6DC2B94CC57A}"/>
  <tableColumns count="4">
    <tableColumn id="1" xr3:uid="{20749911-C5FC-4A11-858B-62C3BEF0551E}" name="Month" dataDxfId="4"/>
    <tableColumn id="2" xr3:uid="{372A78B3-4715-4F9C-AF55-B1006D5ADF0D}" name="Forecast" dataDxfId="3" dataCellStyle="Comma"/>
    <tableColumn id="3" xr3:uid="{0D358A27-CA8E-45DC-93E8-8C25CBE3701F}" name="Actuals" dataDxfId="2" dataCellStyle="Comma"/>
    <tableColumn id="4" xr3:uid="{39130C5E-EE3F-416F-AD8C-B44AEA56BADB}" name="%" dataCellStyle="Percent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125"/>
  <sheetViews>
    <sheetView zoomScale="70" zoomScaleNormal="70" workbookViewId="0">
      <pane xSplit="10" ySplit="12" topLeftCell="S43" activePane="bottomRight" state="frozen"/>
      <selection pane="topRight" activeCell="K1" sqref="K1"/>
      <selection pane="bottomLeft" activeCell="A13" sqref="A13"/>
      <selection pane="bottomRight" activeCell="AC22" sqref="AC22:AN55"/>
    </sheetView>
  </sheetViews>
  <sheetFormatPr defaultRowHeight="14.5" x14ac:dyDescent="0.35"/>
  <cols>
    <col min="1" max="1" width="21.1796875" customWidth="1"/>
    <col min="2" max="2" width="38.90625" customWidth="1"/>
    <col min="3" max="3" width="25.7265625" customWidth="1"/>
    <col min="4" max="4" width="10.54296875" hidden="1" customWidth="1"/>
    <col min="5" max="5" width="16.1796875" customWidth="1"/>
    <col min="6" max="6" width="20.26953125" customWidth="1"/>
    <col min="7" max="7" width="25.7265625" customWidth="1"/>
    <col min="8" max="8" width="13.54296875" customWidth="1"/>
    <col min="9" max="9" width="15.54296875" customWidth="1"/>
    <col min="10" max="10" width="14.1796875" customWidth="1"/>
    <col min="11" max="11" width="10.1796875" bestFit="1" customWidth="1"/>
    <col min="12" max="12" width="8.54296875" customWidth="1"/>
    <col min="13" max="13" width="15" customWidth="1"/>
    <col min="14" max="14" width="10.81640625" customWidth="1"/>
    <col min="15" max="16" width="9.54296875" customWidth="1"/>
    <col min="17" max="17" width="11.1796875" customWidth="1"/>
    <col min="18" max="19" width="9.54296875" customWidth="1"/>
    <col min="20" max="20" width="13.6328125" bestFit="1" customWidth="1"/>
    <col min="21" max="21" width="15" bestFit="1" customWidth="1"/>
    <col min="22" max="22" width="8.54296875" customWidth="1"/>
    <col min="23" max="23" width="8.453125" customWidth="1"/>
    <col min="24" max="24" width="7.54296875" customWidth="1"/>
    <col min="25" max="25" width="6.453125" customWidth="1"/>
    <col min="26" max="26" width="15" bestFit="1" customWidth="1"/>
    <col min="27" max="32" width="6.453125" customWidth="1"/>
    <col min="33" max="38" width="8.26953125" customWidth="1"/>
    <col min="39" max="39" width="8.7265625" bestFit="1" customWidth="1"/>
    <col min="40" max="46" width="6.453125" customWidth="1"/>
    <col min="47" max="47" width="26.6328125" customWidth="1"/>
    <col min="48" max="48" width="22.1796875" customWidth="1"/>
    <col min="49" max="49" width="21.08984375" customWidth="1"/>
    <col min="50" max="50" width="16.7265625" customWidth="1"/>
    <col min="51" max="51" width="16.81640625" bestFit="1" customWidth="1"/>
    <col min="52" max="52" width="16.7265625" customWidth="1"/>
    <col min="53" max="53" width="27.7265625" customWidth="1"/>
    <col min="54" max="54" width="16.81640625" hidden="1" customWidth="1"/>
    <col min="55" max="55" width="16" customWidth="1"/>
    <col min="56" max="56" width="21.1796875" bestFit="1" customWidth="1"/>
    <col min="57" max="57" width="56.7265625" customWidth="1"/>
    <col min="58" max="58" width="56.54296875" customWidth="1"/>
    <col min="59" max="59" width="55.453125" customWidth="1"/>
    <col min="60" max="60" width="8.81640625" customWidth="1"/>
  </cols>
  <sheetData>
    <row r="1" spans="1:59" ht="8.15" customHeight="1" thickBot="1" x14ac:dyDescent="0.4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95"/>
    </row>
    <row r="2" spans="1:59" ht="21.5" thickBot="1" x14ac:dyDescent="0.5">
      <c r="A2" s="394" t="s">
        <v>0</v>
      </c>
      <c r="B2" s="394"/>
      <c r="C2" s="104"/>
      <c r="D2" s="95"/>
      <c r="E2" s="104"/>
      <c r="F2" s="95"/>
      <c r="G2" s="363" t="s">
        <v>1</v>
      </c>
      <c r="H2" s="363"/>
      <c r="I2" s="105" t="s">
        <v>2</v>
      </c>
      <c r="J2" s="106" t="s">
        <v>3</v>
      </c>
      <c r="K2" s="107"/>
      <c r="L2" s="108"/>
      <c r="M2" s="108"/>
      <c r="N2" s="108"/>
      <c r="O2" s="109"/>
      <c r="P2" s="109"/>
      <c r="Q2" s="109"/>
      <c r="R2" s="109"/>
      <c r="S2" s="109"/>
      <c r="T2" s="109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10"/>
      <c r="AU2" s="103"/>
      <c r="AV2" s="95"/>
      <c r="AW2" s="95"/>
      <c r="AX2" s="95"/>
      <c r="AY2" s="95"/>
      <c r="AZ2" s="95"/>
      <c r="BA2" s="95"/>
      <c r="BB2" s="95"/>
      <c r="BC2" s="95"/>
      <c r="BD2" s="95"/>
      <c r="BE2" s="95"/>
      <c r="BF2" s="95"/>
      <c r="BG2" s="95"/>
    </row>
    <row r="3" spans="1:59" ht="21.5" thickBot="1" x14ac:dyDescent="0.5">
      <c r="A3" s="111" t="s">
        <v>4</v>
      </c>
      <c r="B3" s="130" t="s">
        <v>28</v>
      </c>
      <c r="C3" s="95"/>
      <c r="D3" s="95"/>
      <c r="E3" s="95"/>
      <c r="F3" s="95"/>
      <c r="G3" s="364" t="s">
        <v>6</v>
      </c>
      <c r="H3" s="364"/>
      <c r="I3" s="112">
        <v>46023</v>
      </c>
      <c r="J3" s="113">
        <v>46264</v>
      </c>
      <c r="K3" s="103"/>
      <c r="L3" s="95"/>
      <c r="M3" s="95"/>
      <c r="N3" s="95"/>
      <c r="O3" s="97"/>
      <c r="P3" s="97"/>
      <c r="Q3" s="97"/>
      <c r="R3" s="97"/>
      <c r="S3" s="97"/>
      <c r="T3" s="97"/>
      <c r="U3" s="95"/>
      <c r="V3" s="95"/>
      <c r="W3" s="102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95"/>
      <c r="AQ3" s="95"/>
      <c r="AR3" s="95"/>
      <c r="AS3" s="95"/>
      <c r="AT3" s="96"/>
      <c r="AU3" s="103"/>
      <c r="AV3" s="95"/>
      <c r="AW3" s="95"/>
      <c r="AX3" s="95"/>
      <c r="AY3" s="95"/>
      <c r="AZ3" s="95"/>
      <c r="BA3" s="95"/>
      <c r="BB3" s="95"/>
      <c r="BC3" s="95"/>
      <c r="BD3" s="95"/>
      <c r="BE3" s="95"/>
      <c r="BF3" s="95"/>
      <c r="BG3" s="95"/>
    </row>
    <row r="4" spans="1:59" ht="21" x14ac:dyDescent="0.45">
      <c r="A4" s="114"/>
      <c r="B4" s="114"/>
      <c r="C4" s="104"/>
      <c r="D4" s="94"/>
      <c r="E4" s="95"/>
      <c r="F4" s="95"/>
      <c r="G4" s="365" t="s">
        <v>7</v>
      </c>
      <c r="H4" s="365"/>
      <c r="I4" s="115">
        <v>46266</v>
      </c>
      <c r="J4" s="116">
        <v>46483</v>
      </c>
      <c r="K4" s="103"/>
      <c r="L4" s="95"/>
      <c r="M4" s="95"/>
      <c r="N4" s="95"/>
      <c r="O4" s="97"/>
      <c r="P4" s="97"/>
      <c r="Q4" s="97"/>
      <c r="R4" s="97"/>
      <c r="S4" s="97"/>
      <c r="T4" s="97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J4" s="95"/>
      <c r="AK4" s="95"/>
      <c r="AL4" s="95"/>
      <c r="AM4" s="95"/>
      <c r="AN4" s="95"/>
      <c r="AO4" s="95"/>
      <c r="AP4" s="95"/>
      <c r="AQ4" s="95"/>
      <c r="AR4" s="95"/>
      <c r="AS4" s="95"/>
      <c r="AT4" s="96"/>
      <c r="AU4" s="103"/>
      <c r="AV4" s="95"/>
      <c r="AW4" s="95"/>
      <c r="AX4" s="95"/>
      <c r="AY4" s="95"/>
      <c r="AZ4" s="95"/>
      <c r="BA4" s="95"/>
      <c r="BB4" s="95"/>
      <c r="BC4" s="95"/>
      <c r="BD4" s="95"/>
      <c r="BE4" s="95"/>
      <c r="BF4" s="95"/>
      <c r="BG4" s="95"/>
    </row>
    <row r="5" spans="1:59" ht="21" x14ac:dyDescent="0.45">
      <c r="A5" s="114"/>
      <c r="B5" s="114"/>
      <c r="C5" s="114"/>
      <c r="D5" s="95"/>
      <c r="E5" s="95"/>
      <c r="F5" s="95"/>
      <c r="G5" s="365" t="s">
        <v>308</v>
      </c>
      <c r="H5" s="365"/>
      <c r="I5" s="115">
        <v>46661</v>
      </c>
      <c r="J5" s="116">
        <v>46812</v>
      </c>
      <c r="K5" s="103"/>
      <c r="L5" s="95"/>
      <c r="M5" s="95"/>
      <c r="N5" s="95"/>
      <c r="O5" s="97"/>
      <c r="P5" s="97"/>
      <c r="Q5" s="97"/>
      <c r="R5" s="97"/>
      <c r="S5" s="97"/>
      <c r="T5" s="97"/>
      <c r="U5" s="95"/>
      <c r="V5" s="95"/>
      <c r="W5" s="95"/>
      <c r="X5" s="95"/>
      <c r="Y5" s="95"/>
      <c r="Z5" s="95"/>
      <c r="AA5" s="95"/>
      <c r="AB5" s="95"/>
      <c r="AC5" s="95"/>
      <c r="AD5" s="95"/>
      <c r="AE5" s="95"/>
      <c r="AF5" s="95"/>
      <c r="AG5" s="95"/>
      <c r="AH5" s="95"/>
      <c r="AI5" s="95"/>
      <c r="AJ5" s="95"/>
      <c r="AK5" s="95"/>
      <c r="AL5" s="95"/>
      <c r="AM5" s="95"/>
      <c r="AN5" s="95"/>
      <c r="AO5" s="95"/>
      <c r="AP5" s="95"/>
      <c r="AQ5" s="95"/>
      <c r="AR5" s="95"/>
      <c r="AS5" s="95"/>
      <c r="AT5" s="96"/>
      <c r="AU5" s="103"/>
      <c r="AV5" s="95"/>
      <c r="AW5" s="95"/>
      <c r="AX5" s="95"/>
      <c r="AY5" s="95"/>
      <c r="AZ5" s="95"/>
      <c r="BA5" s="95"/>
      <c r="BB5" s="95"/>
      <c r="BC5" s="95"/>
      <c r="BD5" s="95"/>
      <c r="BE5" s="95"/>
      <c r="BF5" s="95"/>
      <c r="BG5" s="95"/>
    </row>
    <row r="6" spans="1:59" ht="21" x14ac:dyDescent="0.45">
      <c r="A6" s="114"/>
      <c r="B6" s="114"/>
      <c r="C6" s="114"/>
      <c r="D6" s="95"/>
      <c r="E6" s="95"/>
      <c r="F6" s="95"/>
      <c r="G6" s="365" t="s">
        <v>8</v>
      </c>
      <c r="H6" s="365"/>
      <c r="I6" s="115">
        <v>46813</v>
      </c>
      <c r="J6" s="116">
        <v>46905</v>
      </c>
      <c r="K6" s="98"/>
      <c r="L6" s="99"/>
      <c r="M6" s="99"/>
      <c r="N6" s="99"/>
      <c r="O6" s="100"/>
      <c r="P6" s="100"/>
      <c r="Q6" s="100"/>
      <c r="R6" s="100"/>
      <c r="S6" s="100"/>
      <c r="T6" s="100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  <c r="AJ6" s="99"/>
      <c r="AK6" s="99"/>
      <c r="AL6" s="99"/>
      <c r="AM6" s="99"/>
      <c r="AN6" s="99"/>
      <c r="AO6" s="99"/>
      <c r="AP6" s="99"/>
      <c r="AQ6" s="99"/>
      <c r="AR6" s="99"/>
      <c r="AS6" s="99"/>
      <c r="AT6" s="101"/>
      <c r="AU6" s="103"/>
      <c r="AV6" s="95"/>
      <c r="AW6" s="95"/>
      <c r="AX6" s="95"/>
      <c r="AY6" s="95"/>
      <c r="AZ6" s="95"/>
      <c r="BA6" s="95"/>
      <c r="BB6" s="95"/>
      <c r="BC6" s="95"/>
      <c r="BD6" s="95"/>
      <c r="BE6" s="95"/>
      <c r="BF6" s="95"/>
      <c r="BG6" s="95"/>
    </row>
    <row r="7" spans="1:59" ht="9" customHeight="1" thickBot="1" x14ac:dyDescent="0.5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7"/>
      <c r="P7" s="97"/>
      <c r="Q7" s="97"/>
      <c r="R7" s="97"/>
      <c r="S7" s="97"/>
      <c r="T7" s="97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  <c r="AS7" s="95"/>
      <c r="AT7" s="95"/>
      <c r="AU7" s="95"/>
      <c r="AV7" s="95"/>
      <c r="AW7" s="95"/>
      <c r="AX7" s="95"/>
      <c r="AY7" s="95"/>
      <c r="AZ7" s="95"/>
      <c r="BA7" s="95"/>
      <c r="BB7" s="95"/>
      <c r="BC7" s="95"/>
      <c r="BD7" s="95"/>
      <c r="BE7" s="95"/>
      <c r="BF7" s="95"/>
      <c r="BG7" s="117"/>
    </row>
    <row r="8" spans="1:59" s="26" customFormat="1" ht="15" thickBot="1" x14ac:dyDescent="0.4">
      <c r="A8" s="391" t="s">
        <v>9</v>
      </c>
      <c r="B8" s="392"/>
      <c r="C8" s="393"/>
      <c r="D8" s="123"/>
      <c r="E8" s="377" t="s">
        <v>10</v>
      </c>
      <c r="F8" s="378"/>
      <c r="G8" s="377" t="s">
        <v>11</v>
      </c>
      <c r="H8" s="378"/>
      <c r="I8" s="378"/>
      <c r="J8" s="378"/>
      <c r="K8" s="410">
        <v>2026</v>
      </c>
      <c r="L8" s="411"/>
      <c r="M8" s="411"/>
      <c r="N8" s="411"/>
      <c r="O8" s="411"/>
      <c r="P8" s="411"/>
      <c r="Q8" s="411"/>
      <c r="R8" s="411"/>
      <c r="S8" s="411"/>
      <c r="T8" s="411"/>
      <c r="U8" s="411"/>
      <c r="V8" s="412"/>
      <c r="W8" s="417">
        <v>2027</v>
      </c>
      <c r="X8" s="411"/>
      <c r="Y8" s="411"/>
      <c r="Z8" s="411"/>
      <c r="AA8" s="411"/>
      <c r="AB8" s="411"/>
      <c r="AC8" s="411"/>
      <c r="AD8" s="411"/>
      <c r="AE8" s="411"/>
      <c r="AF8" s="411"/>
      <c r="AG8" s="411"/>
      <c r="AH8" s="412"/>
      <c r="AI8" s="411">
        <v>2028</v>
      </c>
      <c r="AJ8" s="411"/>
      <c r="AK8" s="411"/>
      <c r="AL8" s="411"/>
      <c r="AM8" s="411"/>
      <c r="AN8" s="411"/>
      <c r="AO8" s="411"/>
      <c r="AP8" s="411"/>
      <c r="AQ8" s="411"/>
      <c r="AR8" s="411"/>
      <c r="AS8" s="411"/>
      <c r="AT8" s="411"/>
      <c r="AU8" s="368" t="s">
        <v>12</v>
      </c>
      <c r="AV8" s="369"/>
      <c r="AW8" s="369"/>
      <c r="AX8" s="370"/>
      <c r="AY8" s="416" t="s">
        <v>13</v>
      </c>
      <c r="AZ8" s="370"/>
      <c r="BA8" s="416" t="s">
        <v>14</v>
      </c>
      <c r="BB8" s="370"/>
      <c r="BC8" s="395" t="s">
        <v>15</v>
      </c>
      <c r="BD8" s="396"/>
      <c r="BE8" s="395" t="s">
        <v>16</v>
      </c>
      <c r="BF8" s="397"/>
      <c r="BG8" s="396"/>
    </row>
    <row r="9" spans="1:59" s="4" customFormat="1" ht="21" customHeight="1" x14ac:dyDescent="0.35">
      <c r="A9" s="379" t="s">
        <v>17</v>
      </c>
      <c r="B9" s="382" t="s">
        <v>18</v>
      </c>
      <c r="C9" s="385" t="s">
        <v>19</v>
      </c>
      <c r="D9" s="388" t="s">
        <v>20</v>
      </c>
      <c r="E9" s="401" t="s">
        <v>21</v>
      </c>
      <c r="F9" s="403" t="s">
        <v>22</v>
      </c>
      <c r="G9" s="405" t="s">
        <v>23</v>
      </c>
      <c r="H9" s="407" t="s">
        <v>24</v>
      </c>
      <c r="I9" s="366" t="s">
        <v>25</v>
      </c>
      <c r="J9" s="366" t="s">
        <v>26</v>
      </c>
      <c r="K9" s="142" t="s">
        <v>27</v>
      </c>
      <c r="L9" s="29" t="s">
        <v>5</v>
      </c>
      <c r="M9" s="29" t="s">
        <v>28</v>
      </c>
      <c r="N9" s="29" t="s">
        <v>29</v>
      </c>
      <c r="O9" s="29" t="s">
        <v>30</v>
      </c>
      <c r="P9" s="30" t="s">
        <v>31</v>
      </c>
      <c r="Q9" s="31" t="s">
        <v>32</v>
      </c>
      <c r="R9" s="32" t="s">
        <v>33</v>
      </c>
      <c r="S9" s="32" t="s">
        <v>34</v>
      </c>
      <c r="T9" s="32" t="s">
        <v>35</v>
      </c>
      <c r="U9" s="32" t="s">
        <v>36</v>
      </c>
      <c r="V9" s="33" t="s">
        <v>37</v>
      </c>
      <c r="W9" s="34" t="s">
        <v>38</v>
      </c>
      <c r="X9" s="32" t="s">
        <v>39</v>
      </c>
      <c r="Y9" s="32" t="s">
        <v>40</v>
      </c>
      <c r="Z9" s="32" t="s">
        <v>41</v>
      </c>
      <c r="AA9" s="32" t="s">
        <v>42</v>
      </c>
      <c r="AB9" s="35" t="s">
        <v>43</v>
      </c>
      <c r="AC9" s="36" t="s">
        <v>44</v>
      </c>
      <c r="AD9" s="36" t="s">
        <v>45</v>
      </c>
      <c r="AE9" s="36" t="s">
        <v>46</v>
      </c>
      <c r="AF9" s="36" t="s">
        <v>47</v>
      </c>
      <c r="AG9" s="36" t="s">
        <v>48</v>
      </c>
      <c r="AH9" s="70" t="s">
        <v>49</v>
      </c>
      <c r="AI9" s="119" t="s">
        <v>50</v>
      </c>
      <c r="AJ9" s="36" t="s">
        <v>51</v>
      </c>
      <c r="AK9" s="36" t="s">
        <v>52</v>
      </c>
      <c r="AL9" s="36" t="s">
        <v>53</v>
      </c>
      <c r="AM9" s="36" t="s">
        <v>54</v>
      </c>
      <c r="AN9" s="70" t="s">
        <v>55</v>
      </c>
      <c r="AO9" s="31" t="s">
        <v>56</v>
      </c>
      <c r="AP9" s="37" t="s">
        <v>57</v>
      </c>
      <c r="AQ9" s="37" t="s">
        <v>58</v>
      </c>
      <c r="AR9" s="37" t="s">
        <v>59</v>
      </c>
      <c r="AS9" s="37" t="s">
        <v>60</v>
      </c>
      <c r="AT9" s="38" t="s">
        <v>61</v>
      </c>
      <c r="AU9" s="23" t="s">
        <v>62</v>
      </c>
      <c r="AV9" s="24" t="s">
        <v>63</v>
      </c>
      <c r="AW9" s="24" t="s">
        <v>64</v>
      </c>
      <c r="AX9" s="25" t="s">
        <v>65</v>
      </c>
      <c r="AY9" s="39" t="s">
        <v>66</v>
      </c>
      <c r="AZ9" s="233" t="s">
        <v>67</v>
      </c>
      <c r="BA9" s="237" t="s">
        <v>66</v>
      </c>
      <c r="BB9" s="74" t="s">
        <v>67</v>
      </c>
      <c r="BC9" s="247" t="s">
        <v>68</v>
      </c>
      <c r="BD9" s="25" t="s">
        <v>69</v>
      </c>
      <c r="BE9" s="81" t="s">
        <v>70</v>
      </c>
      <c r="BF9" s="82" t="s">
        <v>71</v>
      </c>
      <c r="BG9" s="83" t="s">
        <v>72</v>
      </c>
    </row>
    <row r="10" spans="1:59" s="5" customFormat="1" ht="21" customHeight="1" x14ac:dyDescent="0.35">
      <c r="A10" s="380"/>
      <c r="B10" s="383"/>
      <c r="C10" s="386"/>
      <c r="D10" s="389"/>
      <c r="E10" s="402"/>
      <c r="F10" s="404"/>
      <c r="G10" s="406"/>
      <c r="H10" s="408"/>
      <c r="I10" s="367"/>
      <c r="J10" s="409"/>
      <c r="K10" s="40">
        <v>46023</v>
      </c>
      <c r="L10" s="41">
        <f>EDATE(K10,1)</f>
        <v>46054</v>
      </c>
      <c r="M10" s="41">
        <f t="shared" ref="M10:AT10" si="0">EDATE(L10,1)</f>
        <v>46082</v>
      </c>
      <c r="N10" s="41">
        <f t="shared" si="0"/>
        <v>46113</v>
      </c>
      <c r="O10" s="41">
        <f t="shared" si="0"/>
        <v>46143</v>
      </c>
      <c r="P10" s="42">
        <f t="shared" si="0"/>
        <v>46174</v>
      </c>
      <c r="Q10" s="40">
        <f t="shared" si="0"/>
        <v>46204</v>
      </c>
      <c r="R10" s="41">
        <f t="shared" si="0"/>
        <v>46235</v>
      </c>
      <c r="S10" s="41">
        <f t="shared" si="0"/>
        <v>46266</v>
      </c>
      <c r="T10" s="41">
        <f t="shared" si="0"/>
        <v>46296</v>
      </c>
      <c r="U10" s="41">
        <f t="shared" si="0"/>
        <v>46327</v>
      </c>
      <c r="V10" s="43">
        <f t="shared" si="0"/>
        <v>46357</v>
      </c>
      <c r="W10" s="44">
        <f t="shared" si="0"/>
        <v>46388</v>
      </c>
      <c r="X10" s="45">
        <f t="shared" si="0"/>
        <v>46419</v>
      </c>
      <c r="Y10" s="45">
        <f t="shared" si="0"/>
        <v>46447</v>
      </c>
      <c r="Z10" s="45">
        <f t="shared" si="0"/>
        <v>46478</v>
      </c>
      <c r="AA10" s="45">
        <f t="shared" si="0"/>
        <v>46508</v>
      </c>
      <c r="AB10" s="46">
        <f t="shared" si="0"/>
        <v>46539</v>
      </c>
      <c r="AC10" s="47">
        <f t="shared" si="0"/>
        <v>46569</v>
      </c>
      <c r="AD10" s="45">
        <f t="shared" si="0"/>
        <v>46600</v>
      </c>
      <c r="AE10" s="45">
        <f t="shared" si="0"/>
        <v>46631</v>
      </c>
      <c r="AF10" s="45">
        <f t="shared" si="0"/>
        <v>46661</v>
      </c>
      <c r="AG10" s="45">
        <f t="shared" si="0"/>
        <v>46692</v>
      </c>
      <c r="AH10" s="118">
        <f t="shared" si="0"/>
        <v>46722</v>
      </c>
      <c r="AI10" s="120">
        <f t="shared" si="0"/>
        <v>46753</v>
      </c>
      <c r="AJ10" s="48">
        <f t="shared" si="0"/>
        <v>46784</v>
      </c>
      <c r="AK10" s="48">
        <f t="shared" si="0"/>
        <v>46813</v>
      </c>
      <c r="AL10" s="48">
        <f t="shared" si="0"/>
        <v>46844</v>
      </c>
      <c r="AM10" s="48">
        <f t="shared" si="0"/>
        <v>46874</v>
      </c>
      <c r="AN10" s="49">
        <f t="shared" si="0"/>
        <v>46905</v>
      </c>
      <c r="AO10" s="71">
        <f t="shared" si="0"/>
        <v>46935</v>
      </c>
      <c r="AP10" s="48">
        <f t="shared" si="0"/>
        <v>46966</v>
      </c>
      <c r="AQ10" s="48">
        <f t="shared" si="0"/>
        <v>46997</v>
      </c>
      <c r="AR10" s="48">
        <f t="shared" si="0"/>
        <v>47027</v>
      </c>
      <c r="AS10" s="48">
        <f t="shared" si="0"/>
        <v>47058</v>
      </c>
      <c r="AT10" s="49">
        <f t="shared" si="0"/>
        <v>47088</v>
      </c>
      <c r="AU10" s="18" t="s">
        <v>73</v>
      </c>
      <c r="AV10" s="17" t="s">
        <v>74</v>
      </c>
      <c r="AW10" s="17" t="s">
        <v>75</v>
      </c>
      <c r="AX10" s="240"/>
      <c r="AY10" s="18" t="s">
        <v>76</v>
      </c>
      <c r="AZ10" s="77" t="s">
        <v>77</v>
      </c>
      <c r="BA10" s="18" t="s">
        <v>78</v>
      </c>
      <c r="BB10" s="20" t="s">
        <v>79</v>
      </c>
      <c r="BC10" s="248" t="s">
        <v>80</v>
      </c>
      <c r="BD10" s="19" t="s">
        <v>81</v>
      </c>
      <c r="BE10" s="78" t="s">
        <v>82</v>
      </c>
      <c r="BF10" s="79" t="s">
        <v>83</v>
      </c>
      <c r="BG10" s="80" t="s">
        <v>84</v>
      </c>
    </row>
    <row r="11" spans="1:59" s="5" customFormat="1" ht="21" customHeight="1" thickBot="1" x14ac:dyDescent="0.4">
      <c r="A11" s="381"/>
      <c r="B11" s="384"/>
      <c r="C11" s="387"/>
      <c r="D11" s="390"/>
      <c r="E11" s="54">
        <f t="shared" ref="E11:AW11" si="1">SUM(E13:E75)</f>
        <v>27695</v>
      </c>
      <c r="F11" s="121">
        <f t="shared" si="1"/>
        <v>0</v>
      </c>
      <c r="G11" s="54">
        <f t="shared" si="1"/>
        <v>0</v>
      </c>
      <c r="H11" s="67">
        <f t="shared" si="1"/>
        <v>5690</v>
      </c>
      <c r="I11" s="124">
        <f t="shared" si="1"/>
        <v>13385</v>
      </c>
      <c r="J11" s="146">
        <f t="shared" si="1"/>
        <v>7695</v>
      </c>
      <c r="K11" s="134">
        <f t="shared" si="1"/>
        <v>0</v>
      </c>
      <c r="L11" s="132">
        <f t="shared" si="1"/>
        <v>0</v>
      </c>
      <c r="M11" s="132">
        <f t="shared" si="1"/>
        <v>20160</v>
      </c>
      <c r="N11" s="132">
        <f t="shared" si="1"/>
        <v>68160</v>
      </c>
      <c r="O11" s="132">
        <f t="shared" si="1"/>
        <v>89515</v>
      </c>
      <c r="P11" s="133">
        <f t="shared" si="1"/>
        <v>101473.64</v>
      </c>
      <c r="Q11" s="134">
        <f t="shared" si="1"/>
        <v>78415</v>
      </c>
      <c r="R11" s="132">
        <f t="shared" si="1"/>
        <v>79236.36</v>
      </c>
      <c r="S11" s="132">
        <f t="shared" si="1"/>
        <v>58145</v>
      </c>
      <c r="T11" s="132">
        <f t="shared" si="1"/>
        <v>448601.59906840004</v>
      </c>
      <c r="U11" s="132">
        <f t="shared" si="1"/>
        <v>320596.95359999995</v>
      </c>
      <c r="V11" s="135">
        <f t="shared" si="1"/>
        <v>49926.67</v>
      </c>
      <c r="W11" s="136">
        <f t="shared" si="1"/>
        <v>46926.67</v>
      </c>
      <c r="X11" s="132">
        <f t="shared" si="1"/>
        <v>37560</v>
      </c>
      <c r="Y11" s="132">
        <f t="shared" si="1"/>
        <v>26160</v>
      </c>
      <c r="Z11" s="132">
        <f t="shared" si="1"/>
        <v>314626.59906840004</v>
      </c>
      <c r="AA11" s="132">
        <f t="shared" si="1"/>
        <v>26160</v>
      </c>
      <c r="AB11" s="133">
        <f t="shared" si="1"/>
        <v>22560</v>
      </c>
      <c r="AC11" s="131">
        <f t="shared" si="1"/>
        <v>22560</v>
      </c>
      <c r="AD11" s="132">
        <f t="shared" si="1"/>
        <v>21360</v>
      </c>
      <c r="AE11" s="132">
        <f t="shared" si="1"/>
        <v>32560</v>
      </c>
      <c r="AF11" s="132">
        <f t="shared" si="1"/>
        <v>310498.23333333334</v>
      </c>
      <c r="AG11" s="132">
        <f t="shared" si="1"/>
        <v>741026.97635613335</v>
      </c>
      <c r="AH11" s="137">
        <f t="shared" si="1"/>
        <v>739826.97635613335</v>
      </c>
      <c r="AI11" s="136">
        <f t="shared" si="1"/>
        <v>301698.24333333335</v>
      </c>
      <c r="AJ11" s="132">
        <f t="shared" si="1"/>
        <v>190728.05704533317</v>
      </c>
      <c r="AK11" s="132">
        <f t="shared" si="1"/>
        <v>31818.333333333332</v>
      </c>
      <c r="AL11" s="132">
        <f t="shared" si="1"/>
        <v>28360</v>
      </c>
      <c r="AM11" s="132">
        <f t="shared" si="1"/>
        <v>20160</v>
      </c>
      <c r="AN11" s="137">
        <f t="shared" si="1"/>
        <v>9480</v>
      </c>
      <c r="AO11" s="134">
        <f t="shared" si="1"/>
        <v>0</v>
      </c>
      <c r="AP11" s="132">
        <f t="shared" si="1"/>
        <v>0</v>
      </c>
      <c r="AQ11" s="132">
        <f t="shared" si="1"/>
        <v>0</v>
      </c>
      <c r="AR11" s="132">
        <f t="shared" si="1"/>
        <v>0</v>
      </c>
      <c r="AS11" s="132">
        <f t="shared" si="1"/>
        <v>0</v>
      </c>
      <c r="AT11" s="137">
        <f t="shared" si="1"/>
        <v>0</v>
      </c>
      <c r="AU11" s="51">
        <f t="shared" si="1"/>
        <v>4238300.3114943998</v>
      </c>
      <c r="AV11" s="52">
        <f t="shared" si="1"/>
        <v>27695</v>
      </c>
      <c r="AW11" s="52">
        <f t="shared" si="1"/>
        <v>4265995.3114943998</v>
      </c>
      <c r="AX11" s="241"/>
      <c r="AY11" s="51">
        <f t="shared" ref="AY11:BD11" si="2">SUM(AY13:AY75)</f>
        <v>4265995.3114943998</v>
      </c>
      <c r="AZ11" s="234">
        <f t="shared" si="2"/>
        <v>13385</v>
      </c>
      <c r="BA11" s="51">
        <f t="shared" si="2"/>
        <v>0</v>
      </c>
      <c r="BB11" s="146">
        <f t="shared" si="2"/>
        <v>7695</v>
      </c>
      <c r="BC11" s="51">
        <f t="shared" si="2"/>
        <v>4265995.3114943998</v>
      </c>
      <c r="BD11" s="50">
        <f t="shared" si="2"/>
        <v>0</v>
      </c>
      <c r="BE11" s="76"/>
      <c r="BF11" s="84"/>
      <c r="BG11" s="53"/>
    </row>
    <row r="12" spans="1:59" s="5" customFormat="1" ht="21" hidden="1" customHeight="1" thickTop="1" x14ac:dyDescent="0.35">
      <c r="A12" s="182"/>
      <c r="B12" s="122"/>
      <c r="C12" s="122"/>
      <c r="D12" s="122"/>
      <c r="E12" s="125"/>
      <c r="F12" s="125"/>
      <c r="G12" s="347"/>
      <c r="H12" s="141"/>
      <c r="I12" s="125"/>
      <c r="J12" s="141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138"/>
      <c r="AE12" s="138"/>
      <c r="AF12" s="138"/>
      <c r="AG12" s="138"/>
      <c r="AH12" s="138"/>
      <c r="AI12" s="138"/>
      <c r="AJ12" s="138"/>
      <c r="AK12" s="138"/>
      <c r="AL12" s="138"/>
      <c r="AM12" s="138"/>
      <c r="AN12" s="138"/>
      <c r="AO12" s="138"/>
      <c r="AP12" s="138"/>
      <c r="AQ12" s="138"/>
      <c r="AR12" s="138"/>
      <c r="AS12" s="138"/>
      <c r="AT12" s="138"/>
      <c r="AU12" s="126"/>
      <c r="AV12" s="126"/>
      <c r="AW12" s="126"/>
      <c r="AX12" s="126"/>
      <c r="AY12" s="238"/>
      <c r="AZ12" s="126"/>
      <c r="BA12" s="238"/>
      <c r="BB12" s="126"/>
      <c r="BC12" s="126"/>
      <c r="BD12" s="126"/>
      <c r="BE12" s="127"/>
      <c r="BF12" s="127"/>
      <c r="BG12" s="127"/>
    </row>
    <row r="13" spans="1:59" ht="15" thickTop="1" x14ac:dyDescent="0.35">
      <c r="A13" s="249" t="s">
        <v>157</v>
      </c>
      <c r="B13" s="68" t="s">
        <v>159</v>
      </c>
      <c r="C13" s="27" t="s">
        <v>324</v>
      </c>
      <c r="D13" s="69">
        <f t="shared" ref="D13:D44" si="3">MATCH(A13,_xlfn.UNIQUE($A$13:$A$75),0)</f>
        <v>1</v>
      </c>
      <c r="E13" s="21">
        <f>SUMIFS('Raw Data Entry'!$G:$G,'Raw Data Entry'!$B:$B,$A13,'Raw Data Entry'!$V:$V,$B13)</f>
        <v>200</v>
      </c>
      <c r="F13" s="345">
        <f t="shared" ref="F13:F43" si="4">BD13</f>
        <v>0</v>
      </c>
      <c r="G13" s="348">
        <f>BA13</f>
        <v>0</v>
      </c>
      <c r="H13" s="22">
        <f>SUMIFS('Raw Data Entry'!$G:$G,'Raw Data Entry'!$B:$B,$A13,'Raw Data Entry'!$V:$V,$B13,'Raw Data Entry'!$A:$A,$B$3)</f>
        <v>0</v>
      </c>
      <c r="I13" s="16">
        <f>AZ13</f>
        <v>0</v>
      </c>
      <c r="J13" s="143">
        <f t="shared" ref="J13:J43" si="5">BB13</f>
        <v>0</v>
      </c>
      <c r="K13" s="28"/>
      <c r="L13" s="139"/>
      <c r="M13" s="139"/>
      <c r="N13" s="139"/>
      <c r="O13" s="139"/>
      <c r="P13" s="139"/>
      <c r="Q13" s="28"/>
      <c r="R13" s="16"/>
      <c r="S13" s="16"/>
      <c r="T13" s="16"/>
      <c r="U13" s="16"/>
      <c r="V13" s="16"/>
      <c r="W13" s="65"/>
      <c r="X13" s="16"/>
      <c r="Y13" s="16"/>
      <c r="Z13" s="16"/>
      <c r="AA13" s="16"/>
      <c r="AB13" s="3"/>
      <c r="AC13" s="16"/>
      <c r="AD13" s="16"/>
      <c r="AE13" s="16"/>
      <c r="AF13" s="16"/>
      <c r="AG13" s="16"/>
      <c r="AH13" s="16"/>
      <c r="AI13" s="65"/>
      <c r="AJ13" s="16"/>
      <c r="AK13" s="16"/>
      <c r="AL13" s="16"/>
      <c r="AM13" s="16"/>
      <c r="AN13" s="16"/>
      <c r="AO13" s="28"/>
      <c r="AP13" s="16"/>
      <c r="AQ13" s="16"/>
      <c r="AR13" s="16"/>
      <c r="AS13" s="16"/>
      <c r="AT13" s="16"/>
      <c r="AU13" s="28">
        <f>SUM(K13:AT13)</f>
        <v>0</v>
      </c>
      <c r="AV13" s="22">
        <f t="shared" ref="AV13:AV43" si="6">E13</f>
        <v>200</v>
      </c>
      <c r="AW13" s="128">
        <f>SUM(AU13:AV13)</f>
        <v>200</v>
      </c>
      <c r="AX13" s="242">
        <v>0</v>
      </c>
      <c r="AY13" s="243">
        <v>200</v>
      </c>
      <c r="AZ13" s="235">
        <v>0</v>
      </c>
      <c r="BA13" s="75">
        <f>AY13-AW13</f>
        <v>0</v>
      </c>
      <c r="BB13" s="73">
        <f t="shared" ref="BB13:BB43" si="7">AZ13-H13</f>
        <v>0</v>
      </c>
      <c r="BC13" s="129">
        <v>200</v>
      </c>
      <c r="BD13" s="73">
        <f>BC13-AW13</f>
        <v>0</v>
      </c>
      <c r="BE13" s="75"/>
      <c r="BF13" s="93"/>
      <c r="BG13" s="73"/>
    </row>
    <row r="14" spans="1:59" ht="15" customHeight="1" x14ac:dyDescent="0.35">
      <c r="A14" s="249" t="s">
        <v>157</v>
      </c>
      <c r="B14" s="68" t="s">
        <v>160</v>
      </c>
      <c r="C14" s="27" t="s">
        <v>324</v>
      </c>
      <c r="D14" s="69">
        <f t="shared" si="3"/>
        <v>1</v>
      </c>
      <c r="E14" s="21">
        <f>SUMIFS('Raw Data Entry'!$G:$G,'Raw Data Entry'!$B:$B,$A14,'Raw Data Entry'!$V:$V,$B14)</f>
        <v>7420</v>
      </c>
      <c r="F14" s="345">
        <f t="shared" si="4"/>
        <v>0</v>
      </c>
      <c r="G14" s="348">
        <f t="shared" ref="G14:G75" si="8">BA14</f>
        <v>0</v>
      </c>
      <c r="H14" s="22">
        <f>SUMIFS('Raw Data Entry'!$G:$G,'Raw Data Entry'!$B:$B,$A14,'Raw Data Entry'!$V:$V,$B14,'Raw Data Entry'!$A:$A,$B$3)</f>
        <v>280</v>
      </c>
      <c r="I14" s="16">
        <f t="shared" ref="I14:I75" si="9">AZ14</f>
        <v>4060</v>
      </c>
      <c r="J14" s="143">
        <f t="shared" si="5"/>
        <v>3780</v>
      </c>
      <c r="K14" s="28"/>
      <c r="L14" s="139"/>
      <c r="M14" s="139"/>
      <c r="N14" s="139">
        <v>3000</v>
      </c>
      <c r="O14" s="139"/>
      <c r="P14" s="139"/>
      <c r="Q14" s="28"/>
      <c r="R14" s="16"/>
      <c r="S14" s="16"/>
      <c r="T14" s="16">
        <v>7420</v>
      </c>
      <c r="U14" s="16"/>
      <c r="V14" s="16"/>
      <c r="W14" s="65"/>
      <c r="X14" s="16"/>
      <c r="Y14" s="16"/>
      <c r="Z14" s="16"/>
      <c r="AA14" s="16"/>
      <c r="AB14" s="3"/>
      <c r="AC14" s="16"/>
      <c r="AD14" s="16"/>
      <c r="AE14" s="16"/>
      <c r="AF14" s="16"/>
      <c r="AG14" s="16"/>
      <c r="AH14" s="16"/>
      <c r="AI14" s="65"/>
      <c r="AJ14" s="16"/>
      <c r="AK14" s="16"/>
      <c r="AL14" s="16"/>
      <c r="AM14" s="16"/>
      <c r="AN14" s="16"/>
      <c r="AO14" s="28"/>
      <c r="AP14" s="16"/>
      <c r="AQ14" s="16"/>
      <c r="AR14" s="16"/>
      <c r="AS14" s="16"/>
      <c r="AT14" s="16"/>
      <c r="AU14" s="349">
        <f t="shared" ref="AU14:AU75" si="10">SUM(K14:AT14)</f>
        <v>10420</v>
      </c>
      <c r="AV14" s="22">
        <f t="shared" si="6"/>
        <v>7420</v>
      </c>
      <c r="AW14" s="128">
        <f t="shared" ref="AW14:AW75" si="11">SUM(AU14:AV14)</f>
        <v>17840</v>
      </c>
      <c r="AX14" s="242">
        <v>4060</v>
      </c>
      <c r="AY14" s="243">
        <v>17840</v>
      </c>
      <c r="AZ14" s="235">
        <v>4060</v>
      </c>
      <c r="BA14" s="75">
        <f t="shared" ref="BA14:BA75" si="12">AY14-AW14</f>
        <v>0</v>
      </c>
      <c r="BB14" s="73">
        <f t="shared" si="7"/>
        <v>3780</v>
      </c>
      <c r="BC14" s="129">
        <v>17840</v>
      </c>
      <c r="BD14" s="73">
        <f t="shared" ref="BD14:BD75" si="13">BC14-AW14</f>
        <v>0</v>
      </c>
      <c r="BE14" s="75"/>
      <c r="BF14" s="93"/>
      <c r="BG14" s="73"/>
    </row>
    <row r="15" spans="1:59" ht="15" customHeight="1" x14ac:dyDescent="0.35">
      <c r="A15" s="249" t="s">
        <v>157</v>
      </c>
      <c r="B15" s="68" t="s">
        <v>158</v>
      </c>
      <c r="C15" s="27" t="s">
        <v>324</v>
      </c>
      <c r="D15" s="69">
        <f t="shared" si="3"/>
        <v>1</v>
      </c>
      <c r="E15" s="21">
        <f>SUMIFS('Raw Data Entry'!$G:$G,'Raw Data Entry'!$B:$B,$A15,'Raw Data Entry'!$V:$V,$B15)</f>
        <v>15000</v>
      </c>
      <c r="F15" s="345">
        <f t="shared" si="4"/>
        <v>0</v>
      </c>
      <c r="G15" s="348">
        <f t="shared" si="8"/>
        <v>0</v>
      </c>
      <c r="H15" s="22">
        <f>SUMIFS('Raw Data Entry'!$G:$G,'Raw Data Entry'!$B:$B,$A15,'Raw Data Entry'!$V:$V,$B15,'Raw Data Entry'!$A:$A,$B$3)</f>
        <v>5100</v>
      </c>
      <c r="I15" s="16">
        <f t="shared" si="9"/>
        <v>8400</v>
      </c>
      <c r="J15" s="143">
        <f t="shared" si="5"/>
        <v>3300</v>
      </c>
      <c r="K15" s="28"/>
      <c r="L15" s="139"/>
      <c r="M15" s="139">
        <v>4800</v>
      </c>
      <c r="N15" s="139">
        <v>4800</v>
      </c>
      <c r="O15" s="139">
        <v>4800</v>
      </c>
      <c r="P15" s="139">
        <v>6000</v>
      </c>
      <c r="Q15" s="28">
        <v>6000</v>
      </c>
      <c r="R15" s="16">
        <v>7200</v>
      </c>
      <c r="S15" s="16">
        <v>7200</v>
      </c>
      <c r="T15" s="16">
        <v>4800</v>
      </c>
      <c r="U15" s="16"/>
      <c r="V15" s="16"/>
      <c r="W15" s="65"/>
      <c r="X15" s="16"/>
      <c r="Y15" s="16"/>
      <c r="Z15" s="16"/>
      <c r="AA15" s="16"/>
      <c r="AB15" s="3"/>
      <c r="AC15" s="16"/>
      <c r="AD15" s="16"/>
      <c r="AE15" s="16"/>
      <c r="AF15" s="16"/>
      <c r="AG15" s="16"/>
      <c r="AH15" s="16"/>
      <c r="AI15" s="65"/>
      <c r="AJ15" s="16"/>
      <c r="AK15" s="16"/>
      <c r="AL15" s="16"/>
      <c r="AM15" s="16"/>
      <c r="AN15" s="16"/>
      <c r="AO15" s="28"/>
      <c r="AP15" s="16"/>
      <c r="AQ15" s="16"/>
      <c r="AR15" s="16"/>
      <c r="AS15" s="16"/>
      <c r="AT15" s="16"/>
      <c r="AU15" s="349">
        <f t="shared" si="10"/>
        <v>45600</v>
      </c>
      <c r="AV15" s="22">
        <f t="shared" si="6"/>
        <v>15000</v>
      </c>
      <c r="AW15" s="128">
        <f t="shared" si="11"/>
        <v>60600</v>
      </c>
      <c r="AX15" s="242">
        <v>8400</v>
      </c>
      <c r="AY15" s="243">
        <v>60600</v>
      </c>
      <c r="AZ15" s="235">
        <v>8400</v>
      </c>
      <c r="BA15" s="75">
        <f t="shared" si="12"/>
        <v>0</v>
      </c>
      <c r="BB15" s="73">
        <f t="shared" si="7"/>
        <v>3300</v>
      </c>
      <c r="BC15" s="129">
        <v>60600</v>
      </c>
      <c r="BD15" s="73">
        <f t="shared" si="13"/>
        <v>0</v>
      </c>
      <c r="BE15" s="75"/>
      <c r="BF15" s="93"/>
      <c r="BG15" s="73"/>
    </row>
    <row r="16" spans="1:59" ht="15" customHeight="1" x14ac:dyDescent="0.35">
      <c r="A16" s="249" t="s">
        <v>157</v>
      </c>
      <c r="B16" s="68" t="s">
        <v>288</v>
      </c>
      <c r="C16" s="27" t="s">
        <v>324</v>
      </c>
      <c r="D16" s="69">
        <f t="shared" si="3"/>
        <v>1</v>
      </c>
      <c r="E16" s="21">
        <f>SUMIFS('Raw Data Entry'!$G:$G,'Raw Data Entry'!$B:$B,$A16,'Raw Data Entry'!$V:$V,$B16)</f>
        <v>0</v>
      </c>
      <c r="F16" s="345">
        <f t="shared" si="4"/>
        <v>0</v>
      </c>
      <c r="G16" s="348">
        <f t="shared" si="8"/>
        <v>0</v>
      </c>
      <c r="H16" s="22">
        <f>SUMIFS('Raw Data Entry'!$G:$G,'Raw Data Entry'!$B:$B,$A16,'Raw Data Entry'!$V:$V,$B16,'Raw Data Entry'!$A:$A,$B$3)</f>
        <v>0</v>
      </c>
      <c r="I16" s="16">
        <f t="shared" si="9"/>
        <v>0</v>
      </c>
      <c r="J16" s="143">
        <f t="shared" si="5"/>
        <v>0</v>
      </c>
      <c r="K16" s="28"/>
      <c r="L16" s="139"/>
      <c r="M16" s="139">
        <v>6000</v>
      </c>
      <c r="N16" s="139">
        <v>6000</v>
      </c>
      <c r="O16" s="139">
        <v>6000</v>
      </c>
      <c r="P16" s="139">
        <v>6000</v>
      </c>
      <c r="Q16" s="28">
        <v>6000</v>
      </c>
      <c r="R16" s="16">
        <v>6000</v>
      </c>
      <c r="S16" s="16">
        <v>6000</v>
      </c>
      <c r="T16" s="16">
        <v>6000</v>
      </c>
      <c r="U16" s="16"/>
      <c r="V16" s="16"/>
      <c r="W16" s="65"/>
      <c r="X16" s="16"/>
      <c r="Y16" s="16"/>
      <c r="Z16" s="16"/>
      <c r="AA16" s="16"/>
      <c r="AB16" s="3"/>
      <c r="AC16" s="16"/>
      <c r="AD16" s="16"/>
      <c r="AE16" s="16"/>
      <c r="AF16" s="16"/>
      <c r="AG16" s="16"/>
      <c r="AH16" s="16"/>
      <c r="AI16" s="65"/>
      <c r="AJ16" s="16"/>
      <c r="AK16" s="16"/>
      <c r="AL16" s="16"/>
      <c r="AM16" s="16"/>
      <c r="AN16" s="16"/>
      <c r="AO16" s="28"/>
      <c r="AP16" s="16"/>
      <c r="AQ16" s="16"/>
      <c r="AR16" s="16"/>
      <c r="AS16" s="16"/>
      <c r="AT16" s="16"/>
      <c r="AU16" s="349">
        <f t="shared" si="10"/>
        <v>48000</v>
      </c>
      <c r="AV16" s="22">
        <f t="shared" si="6"/>
        <v>0</v>
      </c>
      <c r="AW16" s="128">
        <f t="shared" si="11"/>
        <v>48000</v>
      </c>
      <c r="AX16" s="242">
        <v>0</v>
      </c>
      <c r="AY16" s="243">
        <v>48000</v>
      </c>
      <c r="AZ16" s="235">
        <v>0</v>
      </c>
      <c r="BA16" s="75">
        <f t="shared" si="12"/>
        <v>0</v>
      </c>
      <c r="BB16" s="73">
        <f t="shared" si="7"/>
        <v>0</v>
      </c>
      <c r="BC16" s="129">
        <v>48000</v>
      </c>
      <c r="BD16" s="73">
        <f t="shared" si="13"/>
        <v>0</v>
      </c>
      <c r="BE16" s="75"/>
      <c r="BF16" s="93"/>
      <c r="BG16" s="73"/>
    </row>
    <row r="17" spans="1:59" ht="15" customHeight="1" x14ac:dyDescent="0.35">
      <c r="A17" s="249" t="s">
        <v>157</v>
      </c>
      <c r="B17" s="68" t="s">
        <v>289</v>
      </c>
      <c r="C17" s="27" t="s">
        <v>324</v>
      </c>
      <c r="D17" s="69">
        <f t="shared" si="3"/>
        <v>1</v>
      </c>
      <c r="E17" s="21">
        <f>SUMIFS('Raw Data Entry'!$G:$G,'Raw Data Entry'!$B:$B,$A17,'Raw Data Entry'!$V:$V,$B17)</f>
        <v>0</v>
      </c>
      <c r="F17" s="345">
        <f t="shared" si="4"/>
        <v>0</v>
      </c>
      <c r="G17" s="348">
        <f t="shared" si="8"/>
        <v>0</v>
      </c>
      <c r="H17" s="22">
        <f>SUMIFS('Raw Data Entry'!$G:$G,'Raw Data Entry'!$B:$B,$A17,'Raw Data Entry'!$V:$V,$B17,'Raw Data Entry'!$A:$A,$B$3)</f>
        <v>0</v>
      </c>
      <c r="I17" s="16">
        <f t="shared" si="9"/>
        <v>0</v>
      </c>
      <c r="J17" s="143">
        <f t="shared" si="5"/>
        <v>0</v>
      </c>
      <c r="K17" s="28"/>
      <c r="L17" s="139"/>
      <c r="M17" s="139">
        <v>4560</v>
      </c>
      <c r="N17" s="139">
        <v>4560</v>
      </c>
      <c r="O17" s="139">
        <v>4560</v>
      </c>
      <c r="P17" s="139">
        <v>4560</v>
      </c>
      <c r="Q17" s="28">
        <v>4560</v>
      </c>
      <c r="R17" s="16">
        <v>4560</v>
      </c>
      <c r="S17" s="16">
        <v>4560</v>
      </c>
      <c r="T17" s="16">
        <v>4560</v>
      </c>
      <c r="U17" s="16"/>
      <c r="V17" s="16"/>
      <c r="W17" s="65"/>
      <c r="X17" s="16"/>
      <c r="Y17" s="16"/>
      <c r="Z17" s="16"/>
      <c r="AA17" s="16"/>
      <c r="AB17" s="3"/>
      <c r="AC17" s="16"/>
      <c r="AD17" s="16"/>
      <c r="AE17" s="16"/>
      <c r="AF17" s="16"/>
      <c r="AG17" s="16"/>
      <c r="AH17" s="16"/>
      <c r="AI17" s="65"/>
      <c r="AJ17" s="16"/>
      <c r="AK17" s="16"/>
      <c r="AL17" s="16"/>
      <c r="AM17" s="16"/>
      <c r="AN17" s="16"/>
      <c r="AO17" s="28"/>
      <c r="AP17" s="16"/>
      <c r="AQ17" s="16"/>
      <c r="AR17" s="16"/>
      <c r="AS17" s="16"/>
      <c r="AT17" s="16"/>
      <c r="AU17" s="349">
        <f t="shared" si="10"/>
        <v>36480</v>
      </c>
      <c r="AV17" s="22">
        <f t="shared" si="6"/>
        <v>0</v>
      </c>
      <c r="AW17" s="128">
        <f t="shared" si="11"/>
        <v>36480</v>
      </c>
      <c r="AX17" s="242">
        <v>0</v>
      </c>
      <c r="AY17" s="243">
        <v>36480</v>
      </c>
      <c r="AZ17" s="235">
        <v>0</v>
      </c>
      <c r="BA17" s="75">
        <f t="shared" si="12"/>
        <v>0</v>
      </c>
      <c r="BB17" s="73">
        <f t="shared" si="7"/>
        <v>0</v>
      </c>
      <c r="BC17" s="129">
        <v>36480</v>
      </c>
      <c r="BD17" s="73">
        <f t="shared" si="13"/>
        <v>0</v>
      </c>
      <c r="BE17" s="75"/>
      <c r="BF17" s="93"/>
      <c r="BG17" s="73"/>
    </row>
    <row r="18" spans="1:59" ht="15" customHeight="1" x14ac:dyDescent="0.35">
      <c r="A18" s="249" t="s">
        <v>157</v>
      </c>
      <c r="B18" s="68" t="s">
        <v>290</v>
      </c>
      <c r="C18" s="27" t="s">
        <v>324</v>
      </c>
      <c r="D18" s="69">
        <f t="shared" si="3"/>
        <v>1</v>
      </c>
      <c r="E18" s="21">
        <f>SUMIFS('Raw Data Entry'!$G:$G,'Raw Data Entry'!$B:$B,$A18,'Raw Data Entry'!$V:$V,$B18)</f>
        <v>0</v>
      </c>
      <c r="F18" s="345">
        <f t="shared" si="4"/>
        <v>0</v>
      </c>
      <c r="G18" s="348">
        <f t="shared" si="8"/>
        <v>0</v>
      </c>
      <c r="H18" s="22">
        <f>SUMIFS('Raw Data Entry'!$G:$G,'Raw Data Entry'!$B:$B,$A18,'Raw Data Entry'!$V:$V,$B18,'Raw Data Entry'!$A:$A,$B$3)</f>
        <v>0</v>
      </c>
      <c r="I18" s="16">
        <f t="shared" si="9"/>
        <v>0</v>
      </c>
      <c r="J18" s="143">
        <f t="shared" si="5"/>
        <v>0</v>
      </c>
      <c r="K18" s="28"/>
      <c r="L18" s="139"/>
      <c r="M18" s="139">
        <v>4800</v>
      </c>
      <c r="N18" s="139">
        <v>4800</v>
      </c>
      <c r="O18" s="139">
        <v>4800</v>
      </c>
      <c r="P18" s="139">
        <v>4800</v>
      </c>
      <c r="Q18" s="28">
        <v>4800</v>
      </c>
      <c r="R18" s="16">
        <v>4800</v>
      </c>
      <c r="S18" s="16">
        <v>4800</v>
      </c>
      <c r="T18" s="16">
        <v>4800</v>
      </c>
      <c r="U18" s="16"/>
      <c r="V18" s="16"/>
      <c r="W18" s="65"/>
      <c r="X18" s="16"/>
      <c r="Y18" s="16"/>
      <c r="Z18" s="16"/>
      <c r="AA18" s="16"/>
      <c r="AB18" s="3"/>
      <c r="AC18" s="16"/>
      <c r="AD18" s="16"/>
      <c r="AE18" s="16"/>
      <c r="AF18" s="16"/>
      <c r="AG18" s="16"/>
      <c r="AH18" s="16"/>
      <c r="AI18" s="65"/>
      <c r="AJ18" s="16"/>
      <c r="AK18" s="16"/>
      <c r="AL18" s="16"/>
      <c r="AM18" s="16"/>
      <c r="AN18" s="16"/>
      <c r="AO18" s="28"/>
      <c r="AP18" s="16"/>
      <c r="AQ18" s="16"/>
      <c r="AR18" s="16"/>
      <c r="AS18" s="16"/>
      <c r="AT18" s="16"/>
      <c r="AU18" s="349">
        <f t="shared" si="10"/>
        <v>38400</v>
      </c>
      <c r="AV18" s="22">
        <f t="shared" si="6"/>
        <v>0</v>
      </c>
      <c r="AW18" s="128">
        <f t="shared" si="11"/>
        <v>38400</v>
      </c>
      <c r="AX18" s="242">
        <v>0</v>
      </c>
      <c r="AY18" s="243">
        <v>38400</v>
      </c>
      <c r="AZ18" s="235">
        <v>0</v>
      </c>
      <c r="BA18" s="75">
        <f t="shared" si="12"/>
        <v>0</v>
      </c>
      <c r="BB18" s="73">
        <f t="shared" si="7"/>
        <v>0</v>
      </c>
      <c r="BC18" s="129">
        <v>38400</v>
      </c>
      <c r="BD18" s="73">
        <f t="shared" si="13"/>
        <v>0</v>
      </c>
      <c r="BE18" s="75"/>
      <c r="BF18" s="93"/>
      <c r="BG18" s="73"/>
    </row>
    <row r="19" spans="1:59" ht="15" customHeight="1" x14ac:dyDescent="0.35">
      <c r="A19" s="249" t="s">
        <v>161</v>
      </c>
      <c r="B19" s="68" t="s">
        <v>291</v>
      </c>
      <c r="C19" s="27" t="s">
        <v>325</v>
      </c>
      <c r="D19" s="69">
        <f t="shared" si="3"/>
        <v>2</v>
      </c>
      <c r="E19" s="21">
        <f>SUMIFS('Raw Data Entry'!$G:$G,'Raw Data Entry'!$B:$B,$A19,'Raw Data Entry'!$V:$V,$B19)</f>
        <v>0</v>
      </c>
      <c r="F19" s="345">
        <f t="shared" si="4"/>
        <v>0</v>
      </c>
      <c r="G19" s="348">
        <f t="shared" si="8"/>
        <v>0</v>
      </c>
      <c r="H19" s="22">
        <f>SUMIFS('Raw Data Entry'!$G:$G,'Raw Data Entry'!$B:$B,$A19,'Raw Data Entry'!$V:$V,$B19,'Raw Data Entry'!$A:$A,$B$3)</f>
        <v>0</v>
      </c>
      <c r="I19" s="16">
        <f t="shared" si="9"/>
        <v>0</v>
      </c>
      <c r="J19" s="143">
        <f t="shared" si="5"/>
        <v>0</v>
      </c>
      <c r="K19" s="28"/>
      <c r="L19" s="139"/>
      <c r="M19" s="139"/>
      <c r="N19" s="139"/>
      <c r="O19" s="139"/>
      <c r="P19" s="139">
        <v>2485.71</v>
      </c>
      <c r="Q19" s="28"/>
      <c r="R19" s="16">
        <v>1864.29</v>
      </c>
      <c r="S19" s="16"/>
      <c r="T19" s="16"/>
      <c r="U19" s="16"/>
      <c r="V19" s="16"/>
      <c r="W19" s="65"/>
      <c r="X19" s="16"/>
      <c r="Y19" s="16"/>
      <c r="Z19" s="16"/>
      <c r="AA19" s="16"/>
      <c r="AB19" s="3"/>
      <c r="AC19" s="16"/>
      <c r="AD19" s="16"/>
      <c r="AE19" s="16"/>
      <c r="AF19" s="16"/>
      <c r="AG19" s="16"/>
      <c r="AH19" s="16"/>
      <c r="AI19" s="65"/>
      <c r="AJ19" s="16"/>
      <c r="AK19" s="16"/>
      <c r="AL19" s="16"/>
      <c r="AM19" s="16"/>
      <c r="AN19" s="16"/>
      <c r="AO19" s="28"/>
      <c r="AP19" s="16"/>
      <c r="AQ19" s="16"/>
      <c r="AR19" s="16"/>
      <c r="AS19" s="16"/>
      <c r="AT19" s="16"/>
      <c r="AU19" s="349">
        <f t="shared" si="10"/>
        <v>4350</v>
      </c>
      <c r="AV19" s="22">
        <f t="shared" si="6"/>
        <v>0</v>
      </c>
      <c r="AW19" s="128">
        <f t="shared" si="11"/>
        <v>4350</v>
      </c>
      <c r="AX19" s="242">
        <v>0</v>
      </c>
      <c r="AY19" s="243">
        <v>4350</v>
      </c>
      <c r="AZ19" s="235">
        <v>0</v>
      </c>
      <c r="BA19" s="75">
        <f t="shared" si="12"/>
        <v>0</v>
      </c>
      <c r="BB19" s="73">
        <f t="shared" si="7"/>
        <v>0</v>
      </c>
      <c r="BC19" s="129">
        <v>4350</v>
      </c>
      <c r="BD19" s="73">
        <f t="shared" si="13"/>
        <v>0</v>
      </c>
      <c r="BE19" s="75"/>
      <c r="BF19" s="93"/>
      <c r="BG19" s="73"/>
    </row>
    <row r="20" spans="1:59" ht="15" customHeight="1" x14ac:dyDescent="0.35">
      <c r="A20" s="249" t="s">
        <v>161</v>
      </c>
      <c r="B20" s="68" t="s">
        <v>292</v>
      </c>
      <c r="C20" s="27" t="s">
        <v>325</v>
      </c>
      <c r="D20" s="69">
        <f t="shared" si="3"/>
        <v>2</v>
      </c>
      <c r="E20" s="21">
        <f>SUMIFS('Raw Data Entry'!$G:$G,'Raw Data Entry'!$B:$B,$A20,'Raw Data Entry'!$V:$V,$B20)</f>
        <v>0</v>
      </c>
      <c r="F20" s="345">
        <f t="shared" si="4"/>
        <v>0</v>
      </c>
      <c r="G20" s="348">
        <f t="shared" si="8"/>
        <v>0</v>
      </c>
      <c r="H20" s="22">
        <f>SUMIFS('Raw Data Entry'!$G:$G,'Raw Data Entry'!$B:$B,$A20,'Raw Data Entry'!$V:$V,$B20,'Raw Data Entry'!$A:$A,$B$3)</f>
        <v>0</v>
      </c>
      <c r="I20" s="16">
        <f t="shared" si="9"/>
        <v>0</v>
      </c>
      <c r="J20" s="143">
        <f t="shared" si="5"/>
        <v>0</v>
      </c>
      <c r="K20" s="28"/>
      <c r="L20" s="139"/>
      <c r="M20" s="139"/>
      <c r="N20" s="139"/>
      <c r="O20" s="139"/>
      <c r="P20" s="139">
        <v>2400</v>
      </c>
      <c r="Q20" s="28"/>
      <c r="R20" s="16">
        <v>1800</v>
      </c>
      <c r="S20" s="16"/>
      <c r="T20" s="16"/>
      <c r="U20" s="16"/>
      <c r="V20" s="16"/>
      <c r="W20" s="65"/>
      <c r="X20" s="16"/>
      <c r="Y20" s="16"/>
      <c r="Z20" s="16"/>
      <c r="AA20" s="16"/>
      <c r="AB20" s="3"/>
      <c r="AC20" s="16"/>
      <c r="AD20" s="16"/>
      <c r="AE20" s="16"/>
      <c r="AF20" s="16"/>
      <c r="AG20" s="16"/>
      <c r="AH20" s="16"/>
      <c r="AI20" s="65"/>
      <c r="AJ20" s="16"/>
      <c r="AK20" s="16"/>
      <c r="AL20" s="16"/>
      <c r="AM20" s="16"/>
      <c r="AN20" s="16"/>
      <c r="AO20" s="28"/>
      <c r="AP20" s="16"/>
      <c r="AQ20" s="16"/>
      <c r="AR20" s="16"/>
      <c r="AS20" s="16"/>
      <c r="AT20" s="16"/>
      <c r="AU20" s="349">
        <f t="shared" si="10"/>
        <v>4200</v>
      </c>
      <c r="AV20" s="22">
        <f t="shared" si="6"/>
        <v>0</v>
      </c>
      <c r="AW20" s="128">
        <f t="shared" si="11"/>
        <v>4200</v>
      </c>
      <c r="AX20" s="242">
        <v>0</v>
      </c>
      <c r="AY20" s="243">
        <v>4200</v>
      </c>
      <c r="AZ20" s="235">
        <v>0</v>
      </c>
      <c r="BA20" s="75">
        <f t="shared" si="12"/>
        <v>0</v>
      </c>
      <c r="BB20" s="73">
        <f t="shared" si="7"/>
        <v>0</v>
      </c>
      <c r="BC20" s="129">
        <v>4200</v>
      </c>
      <c r="BD20" s="73">
        <f t="shared" si="13"/>
        <v>0</v>
      </c>
      <c r="BE20" s="75"/>
      <c r="BF20" s="93"/>
      <c r="BG20" s="73"/>
    </row>
    <row r="21" spans="1:59" ht="15" customHeight="1" x14ac:dyDescent="0.35">
      <c r="A21" s="249" t="s">
        <v>161</v>
      </c>
      <c r="B21" s="68" t="s">
        <v>293</v>
      </c>
      <c r="C21" s="27" t="s">
        <v>325</v>
      </c>
      <c r="D21" s="69">
        <f t="shared" si="3"/>
        <v>2</v>
      </c>
      <c r="E21" s="21">
        <f>SUMIFS('Raw Data Entry'!$G:$G,'Raw Data Entry'!$B:$B,$A21,'Raw Data Entry'!$V:$V,$B21)</f>
        <v>0</v>
      </c>
      <c r="F21" s="345">
        <f t="shared" si="4"/>
        <v>0</v>
      </c>
      <c r="G21" s="348">
        <f t="shared" si="8"/>
        <v>0</v>
      </c>
      <c r="H21" s="22">
        <f>SUMIFS('Raw Data Entry'!$G:$G,'Raw Data Entry'!$B:$B,$A21,'Raw Data Entry'!$V:$V,$B21,'Raw Data Entry'!$A:$A,$B$3)</f>
        <v>0</v>
      </c>
      <c r="I21" s="16">
        <f t="shared" si="9"/>
        <v>0</v>
      </c>
      <c r="J21" s="143">
        <f t="shared" si="5"/>
        <v>0</v>
      </c>
      <c r="K21" s="28"/>
      <c r="L21" s="139"/>
      <c r="M21" s="139"/>
      <c r="N21" s="139"/>
      <c r="O21" s="139"/>
      <c r="P21" s="139">
        <v>2828.5699999999997</v>
      </c>
      <c r="Q21" s="28"/>
      <c r="R21" s="16">
        <v>2121.4299999999998</v>
      </c>
      <c r="S21" s="16"/>
      <c r="T21" s="16"/>
      <c r="U21" s="16"/>
      <c r="V21" s="16"/>
      <c r="W21" s="65"/>
      <c r="X21" s="16"/>
      <c r="Y21" s="16"/>
      <c r="Z21" s="16"/>
      <c r="AA21" s="16"/>
      <c r="AB21" s="3"/>
      <c r="AC21" s="16"/>
      <c r="AD21" s="16"/>
      <c r="AE21" s="16"/>
      <c r="AF21" s="16"/>
      <c r="AG21" s="16"/>
      <c r="AH21" s="16"/>
      <c r="AI21" s="65"/>
      <c r="AJ21" s="16"/>
      <c r="AK21" s="16"/>
      <c r="AL21" s="16"/>
      <c r="AM21" s="16"/>
      <c r="AN21" s="16"/>
      <c r="AO21" s="28"/>
      <c r="AP21" s="16"/>
      <c r="AQ21" s="16"/>
      <c r="AR21" s="16"/>
      <c r="AS21" s="16"/>
      <c r="AT21" s="16"/>
      <c r="AU21" s="349">
        <f t="shared" si="10"/>
        <v>4950</v>
      </c>
      <c r="AV21" s="22">
        <f t="shared" si="6"/>
        <v>0</v>
      </c>
      <c r="AW21" s="128">
        <f t="shared" si="11"/>
        <v>4950</v>
      </c>
      <c r="AX21" s="242">
        <v>0</v>
      </c>
      <c r="AY21" s="243">
        <v>4950</v>
      </c>
      <c r="AZ21" s="235">
        <v>0</v>
      </c>
      <c r="BA21" s="75">
        <f t="shared" si="12"/>
        <v>0</v>
      </c>
      <c r="BB21" s="73">
        <f t="shared" si="7"/>
        <v>0</v>
      </c>
      <c r="BC21" s="129">
        <v>4950</v>
      </c>
      <c r="BD21" s="73">
        <f t="shared" si="13"/>
        <v>0</v>
      </c>
      <c r="BE21" s="75"/>
      <c r="BF21" s="93"/>
      <c r="BG21" s="73"/>
    </row>
    <row r="22" spans="1:59" ht="15" customHeight="1" x14ac:dyDescent="0.35">
      <c r="A22" s="249" t="s">
        <v>161</v>
      </c>
      <c r="B22" s="68" t="s">
        <v>294</v>
      </c>
      <c r="C22" s="27" t="s">
        <v>325</v>
      </c>
      <c r="D22" s="69">
        <f t="shared" si="3"/>
        <v>2</v>
      </c>
      <c r="E22" s="21">
        <f>SUMIFS('Raw Data Entry'!$G:$G,'Raw Data Entry'!$B:$B,$A22,'Raw Data Entry'!$V:$V,$B22)</f>
        <v>0</v>
      </c>
      <c r="F22" s="345">
        <f t="shared" si="4"/>
        <v>0</v>
      </c>
      <c r="G22" s="348">
        <f t="shared" si="8"/>
        <v>0</v>
      </c>
      <c r="H22" s="22">
        <f>SUMIFS('Raw Data Entry'!$G:$G,'Raw Data Entry'!$B:$B,$A22,'Raw Data Entry'!$V:$V,$B22,'Raw Data Entry'!$A:$A,$B$3)</f>
        <v>0</v>
      </c>
      <c r="I22" s="16">
        <f t="shared" si="9"/>
        <v>0</v>
      </c>
      <c r="J22" s="143">
        <f t="shared" si="5"/>
        <v>0</v>
      </c>
      <c r="K22" s="28"/>
      <c r="L22" s="139"/>
      <c r="M22" s="139"/>
      <c r="N22" s="139"/>
      <c r="O22" s="139"/>
      <c r="P22" s="139">
        <v>2228.5700000000002</v>
      </c>
      <c r="Q22" s="28"/>
      <c r="R22" s="16">
        <v>1671.4299999999998</v>
      </c>
      <c r="S22" s="16"/>
      <c r="T22" s="16"/>
      <c r="U22" s="16"/>
      <c r="V22" s="16"/>
      <c r="W22" s="65"/>
      <c r="X22" s="16"/>
      <c r="Y22" s="16"/>
      <c r="Z22" s="16"/>
      <c r="AA22" s="16"/>
      <c r="AB22" s="3"/>
      <c r="AC22" s="16"/>
      <c r="AD22" s="16"/>
      <c r="AE22" s="16"/>
      <c r="AF22" s="16"/>
      <c r="AG22" s="16"/>
      <c r="AH22" s="16"/>
      <c r="AI22" s="65"/>
      <c r="AJ22" s="16"/>
      <c r="AK22" s="16"/>
      <c r="AL22" s="16"/>
      <c r="AM22" s="16"/>
      <c r="AN22" s="16"/>
      <c r="AO22" s="28"/>
      <c r="AP22" s="16"/>
      <c r="AQ22" s="16"/>
      <c r="AR22" s="16"/>
      <c r="AS22" s="16"/>
      <c r="AT22" s="16"/>
      <c r="AU22" s="349">
        <f t="shared" si="10"/>
        <v>3900</v>
      </c>
      <c r="AV22" s="22">
        <f t="shared" si="6"/>
        <v>0</v>
      </c>
      <c r="AW22" s="128">
        <f t="shared" si="11"/>
        <v>3900</v>
      </c>
      <c r="AX22" s="242">
        <v>0</v>
      </c>
      <c r="AY22" s="243">
        <v>3900</v>
      </c>
      <c r="AZ22" s="235">
        <v>0</v>
      </c>
      <c r="BA22" s="75">
        <f t="shared" si="12"/>
        <v>0</v>
      </c>
      <c r="BB22" s="73">
        <f t="shared" si="7"/>
        <v>0</v>
      </c>
      <c r="BC22" s="129">
        <v>3900</v>
      </c>
      <c r="BD22" s="73">
        <f t="shared" si="13"/>
        <v>0</v>
      </c>
      <c r="BE22" s="75"/>
      <c r="BF22" s="93"/>
      <c r="BG22" s="73"/>
    </row>
    <row r="23" spans="1:59" ht="15" customHeight="1" x14ac:dyDescent="0.35">
      <c r="A23" s="249" t="s">
        <v>161</v>
      </c>
      <c r="B23" s="68" t="s">
        <v>295</v>
      </c>
      <c r="C23" s="27" t="s">
        <v>325</v>
      </c>
      <c r="D23" s="69">
        <f t="shared" si="3"/>
        <v>2</v>
      </c>
      <c r="E23" s="21">
        <f>SUMIFS('Raw Data Entry'!$G:$G,'Raw Data Entry'!$B:$B,$A23,'Raw Data Entry'!$V:$V,$B23)</f>
        <v>0</v>
      </c>
      <c r="F23" s="345">
        <f t="shared" si="4"/>
        <v>0</v>
      </c>
      <c r="G23" s="348">
        <f t="shared" si="8"/>
        <v>0</v>
      </c>
      <c r="H23" s="22">
        <f>SUMIFS('Raw Data Entry'!$G:$G,'Raw Data Entry'!$B:$B,$A23,'Raw Data Entry'!$V:$V,$B23,'Raw Data Entry'!$A:$A,$B$3)</f>
        <v>0</v>
      </c>
      <c r="I23" s="16">
        <f t="shared" si="9"/>
        <v>0</v>
      </c>
      <c r="J23" s="143">
        <f t="shared" si="5"/>
        <v>0</v>
      </c>
      <c r="K23" s="28"/>
      <c r="L23" s="139"/>
      <c r="M23" s="139"/>
      <c r="N23" s="139"/>
      <c r="O23" s="139"/>
      <c r="P23" s="139">
        <v>1815.79</v>
      </c>
      <c r="Q23" s="28"/>
      <c r="R23" s="16">
        <v>1634.21</v>
      </c>
      <c r="S23" s="16"/>
      <c r="T23" s="16"/>
      <c r="U23" s="16"/>
      <c r="V23" s="16"/>
      <c r="W23" s="65"/>
      <c r="X23" s="16"/>
      <c r="Y23" s="16"/>
      <c r="Z23" s="16"/>
      <c r="AA23" s="16"/>
      <c r="AB23" s="3"/>
      <c r="AC23" s="16"/>
      <c r="AD23" s="16"/>
      <c r="AE23" s="16"/>
      <c r="AF23" s="16"/>
      <c r="AG23" s="16"/>
      <c r="AH23" s="16"/>
      <c r="AI23" s="65"/>
      <c r="AJ23" s="16"/>
      <c r="AK23" s="16"/>
      <c r="AL23" s="16"/>
      <c r="AM23" s="16"/>
      <c r="AN23" s="16"/>
      <c r="AO23" s="28"/>
      <c r="AP23" s="16"/>
      <c r="AQ23" s="16"/>
      <c r="AR23" s="16"/>
      <c r="AS23" s="16"/>
      <c r="AT23" s="16"/>
      <c r="AU23" s="28">
        <f t="shared" si="10"/>
        <v>3450</v>
      </c>
      <c r="AV23" s="22">
        <f t="shared" si="6"/>
        <v>0</v>
      </c>
      <c r="AW23" s="128">
        <f t="shared" si="11"/>
        <v>3450</v>
      </c>
      <c r="AX23" s="242">
        <v>0</v>
      </c>
      <c r="AY23" s="243">
        <v>3450</v>
      </c>
      <c r="AZ23" s="235">
        <v>0</v>
      </c>
      <c r="BA23" s="75">
        <f t="shared" si="12"/>
        <v>0</v>
      </c>
      <c r="BB23" s="73">
        <f t="shared" si="7"/>
        <v>0</v>
      </c>
      <c r="BC23" s="129">
        <v>3450</v>
      </c>
      <c r="BD23" s="73">
        <f t="shared" si="13"/>
        <v>0</v>
      </c>
      <c r="BE23" s="75"/>
      <c r="BF23" s="93"/>
      <c r="BG23" s="73"/>
    </row>
    <row r="24" spans="1:59" ht="15" customHeight="1" x14ac:dyDescent="0.35">
      <c r="A24" s="249" t="s">
        <v>161</v>
      </c>
      <c r="B24" s="68" t="s">
        <v>163</v>
      </c>
      <c r="C24" s="27" t="s">
        <v>325</v>
      </c>
      <c r="D24" s="69">
        <f t="shared" si="3"/>
        <v>2</v>
      </c>
      <c r="E24" s="21">
        <f>SUMIFS('Raw Data Entry'!$G:$G,'Raw Data Entry'!$B:$B,$A24,'Raw Data Entry'!$V:$V,$B24)</f>
        <v>1200</v>
      </c>
      <c r="F24" s="345">
        <f t="shared" si="4"/>
        <v>0</v>
      </c>
      <c r="G24" s="348">
        <f t="shared" si="8"/>
        <v>0</v>
      </c>
      <c r="H24" s="22">
        <f>SUMIFS('Raw Data Entry'!$G:$G,'Raw Data Entry'!$B:$B,$A24,'Raw Data Entry'!$V:$V,$B24,'Raw Data Entry'!$A:$A,$B$3)</f>
        <v>0</v>
      </c>
      <c r="I24" s="16">
        <f t="shared" si="9"/>
        <v>150</v>
      </c>
      <c r="J24" s="143">
        <f t="shared" si="5"/>
        <v>150</v>
      </c>
      <c r="K24" s="28"/>
      <c r="L24" s="139"/>
      <c r="M24" s="139"/>
      <c r="N24" s="139"/>
      <c r="O24" s="139"/>
      <c r="P24" s="139">
        <v>1500</v>
      </c>
      <c r="Q24" s="28"/>
      <c r="R24" s="16"/>
      <c r="S24" s="16"/>
      <c r="T24" s="16"/>
      <c r="U24" s="16"/>
      <c r="V24" s="16"/>
      <c r="W24" s="65"/>
      <c r="X24" s="16"/>
      <c r="Y24" s="16"/>
      <c r="Z24" s="16"/>
      <c r="AA24" s="16"/>
      <c r="AB24" s="3"/>
      <c r="AC24" s="16"/>
      <c r="AD24" s="16"/>
      <c r="AE24" s="16"/>
      <c r="AF24" s="16"/>
      <c r="AG24" s="16"/>
      <c r="AH24" s="16"/>
      <c r="AI24" s="65"/>
      <c r="AJ24" s="16"/>
      <c r="AK24" s="16"/>
      <c r="AL24" s="16"/>
      <c r="AM24" s="16"/>
      <c r="AN24" s="16"/>
      <c r="AO24" s="28"/>
      <c r="AP24" s="16"/>
      <c r="AQ24" s="16"/>
      <c r="AR24" s="16"/>
      <c r="AS24" s="16"/>
      <c r="AT24" s="16"/>
      <c r="AU24" s="28">
        <f t="shared" si="10"/>
        <v>1500</v>
      </c>
      <c r="AV24" s="22">
        <f t="shared" si="6"/>
        <v>1200</v>
      </c>
      <c r="AW24" s="128">
        <f t="shared" si="11"/>
        <v>2700</v>
      </c>
      <c r="AX24" s="242">
        <v>150</v>
      </c>
      <c r="AY24" s="243">
        <v>2700</v>
      </c>
      <c r="AZ24" s="235">
        <v>150</v>
      </c>
      <c r="BA24" s="75">
        <f t="shared" si="12"/>
        <v>0</v>
      </c>
      <c r="BB24" s="73">
        <f t="shared" si="7"/>
        <v>150</v>
      </c>
      <c r="BC24" s="129">
        <v>2700</v>
      </c>
      <c r="BD24" s="73">
        <f t="shared" si="13"/>
        <v>0</v>
      </c>
      <c r="BE24" s="75"/>
      <c r="BF24" s="93"/>
      <c r="BG24" s="73"/>
    </row>
    <row r="25" spans="1:59" ht="15" customHeight="1" x14ac:dyDescent="0.35">
      <c r="A25" s="249" t="s">
        <v>161</v>
      </c>
      <c r="B25" s="68" t="s">
        <v>162</v>
      </c>
      <c r="C25" s="27" t="s">
        <v>325</v>
      </c>
      <c r="D25" s="69">
        <f t="shared" si="3"/>
        <v>2</v>
      </c>
      <c r="E25" s="21">
        <f>SUMIFS('Raw Data Entry'!$G:$G,'Raw Data Entry'!$B:$B,$A25,'Raw Data Entry'!$V:$V,$B25)</f>
        <v>3875</v>
      </c>
      <c r="F25" s="345">
        <f t="shared" si="4"/>
        <v>0</v>
      </c>
      <c r="G25" s="348">
        <f t="shared" si="8"/>
        <v>0</v>
      </c>
      <c r="H25" s="22">
        <f>SUMIFS('Raw Data Entry'!$G:$G,'Raw Data Entry'!$B:$B,$A25,'Raw Data Entry'!$V:$V,$B25,'Raw Data Entry'!$A:$A,$B$3)</f>
        <v>310</v>
      </c>
      <c r="I25" s="16">
        <f t="shared" si="9"/>
        <v>775</v>
      </c>
      <c r="J25" s="143">
        <f t="shared" si="5"/>
        <v>465</v>
      </c>
      <c r="K25" s="28"/>
      <c r="L25" s="139"/>
      <c r="M25" s="139"/>
      <c r="N25" s="139"/>
      <c r="O25" s="139"/>
      <c r="P25" s="139"/>
      <c r="Q25" s="28"/>
      <c r="R25" s="16"/>
      <c r="S25" s="16"/>
      <c r="T25" s="16"/>
      <c r="U25" s="16"/>
      <c r="V25" s="16"/>
      <c r="W25" s="65"/>
      <c r="X25" s="16"/>
      <c r="Y25" s="16"/>
      <c r="Z25" s="16"/>
      <c r="AA25" s="16"/>
      <c r="AB25" s="3"/>
      <c r="AC25" s="16"/>
      <c r="AD25" s="16"/>
      <c r="AE25" s="16"/>
      <c r="AF25" s="16"/>
      <c r="AG25" s="16"/>
      <c r="AH25" s="16"/>
      <c r="AI25" s="65"/>
      <c r="AJ25" s="16"/>
      <c r="AK25" s="16"/>
      <c r="AL25" s="16"/>
      <c r="AM25" s="16"/>
      <c r="AN25" s="16"/>
      <c r="AO25" s="28"/>
      <c r="AP25" s="16"/>
      <c r="AQ25" s="16"/>
      <c r="AR25" s="16"/>
      <c r="AS25" s="16"/>
      <c r="AT25" s="16"/>
      <c r="AU25" s="28">
        <f t="shared" si="10"/>
        <v>0</v>
      </c>
      <c r="AV25" s="22">
        <f t="shared" si="6"/>
        <v>3875</v>
      </c>
      <c r="AW25" s="128">
        <f t="shared" si="11"/>
        <v>3875</v>
      </c>
      <c r="AX25" s="242">
        <v>775</v>
      </c>
      <c r="AY25" s="243">
        <v>3875</v>
      </c>
      <c r="AZ25" s="235">
        <v>775</v>
      </c>
      <c r="BA25" s="75">
        <f t="shared" si="12"/>
        <v>0</v>
      </c>
      <c r="BB25" s="73">
        <f t="shared" si="7"/>
        <v>465</v>
      </c>
      <c r="BC25" s="129">
        <v>3875</v>
      </c>
      <c r="BD25" s="73">
        <f t="shared" si="13"/>
        <v>0</v>
      </c>
      <c r="BE25" s="75"/>
      <c r="BF25" s="93"/>
      <c r="BG25" s="73"/>
    </row>
    <row r="26" spans="1:59" ht="15" customHeight="1" x14ac:dyDescent="0.35">
      <c r="A26" s="249" t="s">
        <v>298</v>
      </c>
      <c r="B26" s="68" t="s">
        <v>297</v>
      </c>
      <c r="C26" s="27" t="s">
        <v>326</v>
      </c>
      <c r="D26" s="69">
        <f t="shared" si="3"/>
        <v>3</v>
      </c>
      <c r="E26" s="21">
        <f>SUMIFS('Raw Data Entry'!$G:$G,'Raw Data Entry'!$B:$B,$A26,'Raw Data Entry'!$V:$V,$B26)</f>
        <v>0</v>
      </c>
      <c r="F26" s="345">
        <f t="shared" si="4"/>
        <v>0</v>
      </c>
      <c r="G26" s="348">
        <f t="shared" si="8"/>
        <v>0</v>
      </c>
      <c r="H26" s="22">
        <f>SUMIFS('Raw Data Entry'!$G:$G,'Raw Data Entry'!$B:$B,$A26,'Raw Data Entry'!$V:$V,$B26,'Raw Data Entry'!$A:$A,$B$3)</f>
        <v>0</v>
      </c>
      <c r="I26" s="16">
        <f t="shared" si="9"/>
        <v>0</v>
      </c>
      <c r="J26" s="143">
        <f t="shared" si="5"/>
        <v>0</v>
      </c>
      <c r="K26" s="28"/>
      <c r="L26" s="139"/>
      <c r="M26" s="139"/>
      <c r="N26" s="139">
        <v>45000</v>
      </c>
      <c r="O26" s="139">
        <v>35000</v>
      </c>
      <c r="P26" s="139">
        <v>40000</v>
      </c>
      <c r="Q26" s="28">
        <v>40000</v>
      </c>
      <c r="R26" s="16">
        <v>27000</v>
      </c>
      <c r="S26" s="16"/>
      <c r="T26" s="16"/>
      <c r="U26" s="16"/>
      <c r="V26" s="16"/>
      <c r="W26" s="65"/>
      <c r="X26" s="16"/>
      <c r="Y26" s="16"/>
      <c r="Z26" s="16"/>
      <c r="AA26" s="16"/>
      <c r="AB26" s="3"/>
      <c r="AC26" s="16"/>
      <c r="AD26" s="16"/>
      <c r="AE26" s="16"/>
      <c r="AF26" s="16"/>
      <c r="AG26" s="16"/>
      <c r="AH26" s="16"/>
      <c r="AI26" s="65"/>
      <c r="AJ26" s="16"/>
      <c r="AK26" s="16"/>
      <c r="AL26" s="16"/>
      <c r="AM26" s="16"/>
      <c r="AN26" s="16"/>
      <c r="AO26" s="28"/>
      <c r="AP26" s="16"/>
      <c r="AQ26" s="16"/>
      <c r="AR26" s="16"/>
      <c r="AS26" s="16"/>
      <c r="AT26" s="16"/>
      <c r="AU26" s="28">
        <f t="shared" si="10"/>
        <v>187000</v>
      </c>
      <c r="AV26" s="22">
        <f t="shared" si="6"/>
        <v>0</v>
      </c>
      <c r="AW26" s="128">
        <f t="shared" si="11"/>
        <v>187000</v>
      </c>
      <c r="AX26" s="242">
        <v>0</v>
      </c>
      <c r="AY26" s="243">
        <v>187000</v>
      </c>
      <c r="AZ26" s="235">
        <v>0</v>
      </c>
      <c r="BA26" s="75">
        <f t="shared" si="12"/>
        <v>0</v>
      </c>
      <c r="BB26" s="73">
        <f t="shared" si="7"/>
        <v>0</v>
      </c>
      <c r="BC26" s="129">
        <v>187000</v>
      </c>
      <c r="BD26" s="73">
        <f t="shared" si="13"/>
        <v>0</v>
      </c>
      <c r="BE26" s="75"/>
      <c r="BF26" s="93"/>
      <c r="BG26" s="73"/>
    </row>
    <row r="27" spans="1:59" ht="15" customHeight="1" x14ac:dyDescent="0.35">
      <c r="A27" s="249" t="s">
        <v>298</v>
      </c>
      <c r="B27" s="68" t="s">
        <v>299</v>
      </c>
      <c r="C27" s="27" t="s">
        <v>326</v>
      </c>
      <c r="D27" s="69">
        <f t="shared" si="3"/>
        <v>3</v>
      </c>
      <c r="E27" s="21">
        <f>SUMIFS('Raw Data Entry'!$G:$G,'Raw Data Entry'!$B:$B,$A27,'Raw Data Entry'!$V:$V,$B27)</f>
        <v>0</v>
      </c>
      <c r="F27" s="345">
        <f t="shared" si="4"/>
        <v>0</v>
      </c>
      <c r="G27" s="348">
        <f t="shared" si="8"/>
        <v>0</v>
      </c>
      <c r="H27" s="22">
        <f>SUMIFS('Raw Data Entry'!$G:$G,'Raw Data Entry'!$B:$B,$A27,'Raw Data Entry'!$V:$V,$B27,'Raw Data Entry'!$A:$A,$B$3)</f>
        <v>0</v>
      </c>
      <c r="I27" s="16">
        <f t="shared" si="9"/>
        <v>0</v>
      </c>
      <c r="J27" s="143">
        <f t="shared" si="5"/>
        <v>0</v>
      </c>
      <c r="K27" s="28"/>
      <c r="L27" s="139"/>
      <c r="M27" s="139"/>
      <c r="N27" s="139"/>
      <c r="O27" s="139"/>
      <c r="P27" s="139">
        <v>15000</v>
      </c>
      <c r="Q27" s="28">
        <v>15000</v>
      </c>
      <c r="R27" s="16"/>
      <c r="S27" s="16"/>
      <c r="T27" s="16"/>
      <c r="U27" s="16"/>
      <c r="V27" s="16"/>
      <c r="W27" s="65"/>
      <c r="X27" s="16"/>
      <c r="Y27" s="16"/>
      <c r="Z27" s="16"/>
      <c r="AA27" s="16"/>
      <c r="AB27" s="3"/>
      <c r="AC27" s="16"/>
      <c r="AD27" s="16"/>
      <c r="AE27" s="16"/>
      <c r="AF27" s="16"/>
      <c r="AG27" s="16"/>
      <c r="AH27" s="16"/>
      <c r="AI27" s="65"/>
      <c r="AJ27" s="16"/>
      <c r="AK27" s="16"/>
      <c r="AL27" s="16"/>
      <c r="AM27" s="16"/>
      <c r="AN27" s="16"/>
      <c r="AO27" s="28"/>
      <c r="AP27" s="16"/>
      <c r="AQ27" s="16"/>
      <c r="AR27" s="16"/>
      <c r="AS27" s="16"/>
      <c r="AT27" s="16"/>
      <c r="AU27" s="28">
        <f t="shared" si="10"/>
        <v>30000</v>
      </c>
      <c r="AV27" s="22">
        <f t="shared" si="6"/>
        <v>0</v>
      </c>
      <c r="AW27" s="128">
        <f t="shared" si="11"/>
        <v>30000</v>
      </c>
      <c r="AX27" s="242">
        <v>0</v>
      </c>
      <c r="AY27" s="243">
        <v>30000</v>
      </c>
      <c r="AZ27" s="235">
        <v>0</v>
      </c>
      <c r="BA27" s="75">
        <f t="shared" si="12"/>
        <v>0</v>
      </c>
      <c r="BB27" s="73">
        <f t="shared" si="7"/>
        <v>0</v>
      </c>
      <c r="BC27" s="129">
        <v>30000</v>
      </c>
      <c r="BD27" s="73">
        <f t="shared" si="13"/>
        <v>0</v>
      </c>
      <c r="BE27" s="75"/>
      <c r="BF27" s="93"/>
      <c r="BG27" s="73"/>
    </row>
    <row r="28" spans="1:59" ht="15" customHeight="1" x14ac:dyDescent="0.35">
      <c r="A28" s="249" t="s">
        <v>301</v>
      </c>
      <c r="B28" s="68" t="s">
        <v>300</v>
      </c>
      <c r="C28" s="27" t="s">
        <v>327</v>
      </c>
      <c r="D28" s="69">
        <f t="shared" si="3"/>
        <v>4</v>
      </c>
      <c r="E28" s="21">
        <f>SUMIFS('Raw Data Entry'!$G:$G,'Raw Data Entry'!$B:$B,$A28,'Raw Data Entry'!$V:$V,$B28)</f>
        <v>0</v>
      </c>
      <c r="F28" s="345">
        <f t="shared" si="4"/>
        <v>0</v>
      </c>
      <c r="G28" s="348">
        <f t="shared" si="8"/>
        <v>0</v>
      </c>
      <c r="H28" s="22">
        <f>SUMIFS('Raw Data Entry'!$G:$G,'Raw Data Entry'!$B:$B,$A28,'Raw Data Entry'!$V:$V,$B28,'Raw Data Entry'!$A:$A,$B$3)</f>
        <v>0</v>
      </c>
      <c r="I28" s="16">
        <f t="shared" si="9"/>
        <v>0</v>
      </c>
      <c r="J28" s="143">
        <f t="shared" si="5"/>
        <v>0</v>
      </c>
      <c r="K28" s="28"/>
      <c r="L28" s="139"/>
      <c r="M28" s="139"/>
      <c r="N28" s="139"/>
      <c r="O28" s="139">
        <v>10675</v>
      </c>
      <c r="P28" s="139">
        <v>11375</v>
      </c>
      <c r="Q28" s="28">
        <v>1575</v>
      </c>
      <c r="R28" s="16">
        <v>875</v>
      </c>
      <c r="S28" s="16">
        <v>875</v>
      </c>
      <c r="T28" s="16">
        <v>875</v>
      </c>
      <c r="U28" s="16"/>
      <c r="V28" s="16"/>
      <c r="W28" s="65"/>
      <c r="X28" s="16"/>
      <c r="Y28" s="16"/>
      <c r="Z28" s="16"/>
      <c r="AA28" s="16"/>
      <c r="AB28" s="3"/>
      <c r="AC28" s="16"/>
      <c r="AD28" s="16"/>
      <c r="AE28" s="16"/>
      <c r="AF28" s="16"/>
      <c r="AG28" s="16"/>
      <c r="AH28" s="16"/>
      <c r="AI28" s="65"/>
      <c r="AJ28" s="16"/>
      <c r="AK28" s="16"/>
      <c r="AL28" s="16"/>
      <c r="AM28" s="16"/>
      <c r="AN28" s="16"/>
      <c r="AO28" s="28"/>
      <c r="AP28" s="16"/>
      <c r="AQ28" s="16"/>
      <c r="AR28" s="16"/>
      <c r="AS28" s="16"/>
      <c r="AT28" s="16"/>
      <c r="AU28" s="28">
        <f t="shared" si="10"/>
        <v>26250</v>
      </c>
      <c r="AV28" s="22">
        <f t="shared" si="6"/>
        <v>0</v>
      </c>
      <c r="AW28" s="128">
        <f t="shared" si="11"/>
        <v>26250</v>
      </c>
      <c r="AX28" s="242">
        <v>0</v>
      </c>
      <c r="AY28" s="243">
        <v>26250</v>
      </c>
      <c r="AZ28" s="235">
        <v>0</v>
      </c>
      <c r="BA28" s="75">
        <f t="shared" si="12"/>
        <v>0</v>
      </c>
      <c r="BB28" s="73">
        <f t="shared" si="7"/>
        <v>0</v>
      </c>
      <c r="BC28" s="129">
        <v>26250</v>
      </c>
      <c r="BD28" s="73">
        <f t="shared" si="13"/>
        <v>0</v>
      </c>
      <c r="BE28" s="75"/>
      <c r="BF28" s="93"/>
      <c r="BG28" s="73"/>
    </row>
    <row r="29" spans="1:59" ht="15" customHeight="1" x14ac:dyDescent="0.35">
      <c r="A29" s="249" t="s">
        <v>301</v>
      </c>
      <c r="B29" s="68" t="s">
        <v>302</v>
      </c>
      <c r="C29" s="27" t="s">
        <v>327</v>
      </c>
      <c r="D29" s="69">
        <f t="shared" si="3"/>
        <v>4</v>
      </c>
      <c r="E29" s="21">
        <f>SUMIFS('Raw Data Entry'!$G:$G,'Raw Data Entry'!$B:$B,$A29,'Raw Data Entry'!$V:$V,$B29)</f>
        <v>0</v>
      </c>
      <c r="F29" s="345">
        <f t="shared" si="4"/>
        <v>0</v>
      </c>
      <c r="G29" s="348">
        <f t="shared" si="8"/>
        <v>0</v>
      </c>
      <c r="H29" s="22">
        <f>SUMIFS('Raw Data Entry'!$G:$G,'Raw Data Entry'!$B:$B,$A29,'Raw Data Entry'!$V:$V,$B29,'Raw Data Entry'!$A:$A,$B$3)</f>
        <v>0</v>
      </c>
      <c r="I29" s="16">
        <f t="shared" si="9"/>
        <v>0</v>
      </c>
      <c r="J29" s="143">
        <f t="shared" si="5"/>
        <v>0</v>
      </c>
      <c r="K29" s="28"/>
      <c r="L29" s="139"/>
      <c r="M29" s="139"/>
      <c r="N29" s="139"/>
      <c r="O29" s="139"/>
      <c r="P29" s="139"/>
      <c r="Q29" s="28"/>
      <c r="R29" s="16">
        <v>1870</v>
      </c>
      <c r="S29" s="16">
        <v>1870</v>
      </c>
      <c r="T29" s="16"/>
      <c r="U29" s="16"/>
      <c r="V29" s="16"/>
      <c r="W29" s="65"/>
      <c r="X29" s="16"/>
      <c r="Y29" s="16"/>
      <c r="Z29" s="16"/>
      <c r="AA29" s="16"/>
      <c r="AB29" s="3"/>
      <c r="AC29" s="16"/>
      <c r="AD29" s="16"/>
      <c r="AE29" s="16"/>
      <c r="AF29" s="16"/>
      <c r="AG29" s="16"/>
      <c r="AH29" s="16"/>
      <c r="AI29" s="65"/>
      <c r="AJ29" s="16"/>
      <c r="AK29" s="16"/>
      <c r="AL29" s="16"/>
      <c r="AM29" s="16"/>
      <c r="AN29" s="16"/>
      <c r="AO29" s="28"/>
      <c r="AP29" s="16"/>
      <c r="AQ29" s="16"/>
      <c r="AR29" s="16"/>
      <c r="AS29" s="16"/>
      <c r="AT29" s="16"/>
      <c r="AU29" s="28">
        <f t="shared" si="10"/>
        <v>3740</v>
      </c>
      <c r="AV29" s="22">
        <f t="shared" si="6"/>
        <v>0</v>
      </c>
      <c r="AW29" s="128">
        <f t="shared" si="11"/>
        <v>3740</v>
      </c>
      <c r="AX29" s="242">
        <v>0</v>
      </c>
      <c r="AY29" s="243">
        <v>3740</v>
      </c>
      <c r="AZ29" s="235">
        <v>0</v>
      </c>
      <c r="BA29" s="75">
        <f t="shared" si="12"/>
        <v>0</v>
      </c>
      <c r="BB29" s="73">
        <f t="shared" si="7"/>
        <v>0</v>
      </c>
      <c r="BC29" s="129">
        <v>3740</v>
      </c>
      <c r="BD29" s="73">
        <f t="shared" si="13"/>
        <v>0</v>
      </c>
      <c r="BE29" s="75"/>
      <c r="BF29" s="93"/>
      <c r="BG29" s="73"/>
    </row>
    <row r="30" spans="1:59" ht="15" customHeight="1" x14ac:dyDescent="0.35">
      <c r="A30" s="249" t="s">
        <v>301</v>
      </c>
      <c r="B30" s="68" t="s">
        <v>303</v>
      </c>
      <c r="C30" s="27" t="s">
        <v>327</v>
      </c>
      <c r="D30" s="69">
        <f t="shared" si="3"/>
        <v>4</v>
      </c>
      <c r="E30" s="21">
        <f>SUMIFS('Raw Data Entry'!$G:$G,'Raw Data Entry'!$B:$B,$A30,'Raw Data Entry'!$V:$V,$B30)</f>
        <v>0</v>
      </c>
      <c r="F30" s="345">
        <f t="shared" si="4"/>
        <v>0</v>
      </c>
      <c r="G30" s="348">
        <f t="shared" si="8"/>
        <v>0</v>
      </c>
      <c r="H30" s="22">
        <f>SUMIFS('Raw Data Entry'!$G:$G,'Raw Data Entry'!$B:$B,$A30,'Raw Data Entry'!$V:$V,$B30,'Raw Data Entry'!$A:$A,$B$3)</f>
        <v>0</v>
      </c>
      <c r="I30" s="16">
        <f t="shared" si="9"/>
        <v>0</v>
      </c>
      <c r="J30" s="143">
        <f t="shared" si="5"/>
        <v>0</v>
      </c>
      <c r="K30" s="28"/>
      <c r="L30" s="139"/>
      <c r="M30" s="139"/>
      <c r="N30" s="139"/>
      <c r="O30" s="139"/>
      <c r="P30" s="139"/>
      <c r="Q30" s="28"/>
      <c r="R30" s="16">
        <v>2360</v>
      </c>
      <c r="S30" s="16">
        <v>2360</v>
      </c>
      <c r="T30" s="16"/>
      <c r="U30" s="16"/>
      <c r="V30" s="16"/>
      <c r="W30" s="65"/>
      <c r="X30" s="16"/>
      <c r="Y30" s="16"/>
      <c r="Z30" s="16"/>
      <c r="AA30" s="16"/>
      <c r="AB30" s="3"/>
      <c r="AC30" s="16"/>
      <c r="AD30" s="16"/>
      <c r="AE30" s="16"/>
      <c r="AF30" s="16"/>
      <c r="AG30" s="16"/>
      <c r="AH30" s="16"/>
      <c r="AI30" s="65"/>
      <c r="AJ30" s="16"/>
      <c r="AK30" s="16"/>
      <c r="AL30" s="16"/>
      <c r="AM30" s="16"/>
      <c r="AN30" s="16"/>
      <c r="AO30" s="28"/>
      <c r="AP30" s="16"/>
      <c r="AQ30" s="16"/>
      <c r="AR30" s="16"/>
      <c r="AS30" s="16"/>
      <c r="AT30" s="16"/>
      <c r="AU30" s="28">
        <f t="shared" si="10"/>
        <v>4720</v>
      </c>
      <c r="AV30" s="22">
        <f t="shared" si="6"/>
        <v>0</v>
      </c>
      <c r="AW30" s="128">
        <f t="shared" si="11"/>
        <v>4720</v>
      </c>
      <c r="AX30" s="242">
        <v>0</v>
      </c>
      <c r="AY30" s="243">
        <v>4720</v>
      </c>
      <c r="AZ30" s="235">
        <v>0</v>
      </c>
      <c r="BA30" s="75">
        <f t="shared" si="12"/>
        <v>0</v>
      </c>
      <c r="BB30" s="73">
        <f t="shared" si="7"/>
        <v>0</v>
      </c>
      <c r="BC30" s="129">
        <v>4720</v>
      </c>
      <c r="BD30" s="73">
        <f t="shared" si="13"/>
        <v>0</v>
      </c>
      <c r="BE30" s="75"/>
      <c r="BF30" s="93"/>
      <c r="BG30" s="73"/>
    </row>
    <row r="31" spans="1:59" ht="15" customHeight="1" x14ac:dyDescent="0.35">
      <c r="A31" s="249" t="s">
        <v>304</v>
      </c>
      <c r="B31" s="68" t="s">
        <v>288</v>
      </c>
      <c r="C31" s="27" t="s">
        <v>324</v>
      </c>
      <c r="D31" s="69">
        <f t="shared" si="3"/>
        <v>5</v>
      </c>
      <c r="E31" s="21">
        <f>SUMIFS('Raw Data Entry'!$G:$G,'Raw Data Entry'!$B:$B,$A31,'Raw Data Entry'!$V:$V,$B31)</f>
        <v>0</v>
      </c>
      <c r="F31" s="345">
        <f t="shared" si="4"/>
        <v>0</v>
      </c>
      <c r="G31" s="348">
        <f t="shared" si="8"/>
        <v>0</v>
      </c>
      <c r="H31" s="22">
        <f>SUMIFS('Raw Data Entry'!$G:$G,'Raw Data Entry'!$B:$B,$A31,'Raw Data Entry'!$V:$V,$B31,'Raw Data Entry'!$A:$A,$B$3)</f>
        <v>0</v>
      </c>
      <c r="I31" s="16">
        <f t="shared" si="9"/>
        <v>0</v>
      </c>
      <c r="J31" s="143">
        <f t="shared" si="5"/>
        <v>0</v>
      </c>
      <c r="K31" s="28"/>
      <c r="L31" s="139"/>
      <c r="M31" s="139"/>
      <c r="N31" s="139"/>
      <c r="O31" s="139"/>
      <c r="P31" s="139"/>
      <c r="Q31" s="28"/>
      <c r="R31" s="16"/>
      <c r="S31" s="16"/>
      <c r="T31" s="16"/>
      <c r="U31" s="16">
        <v>6000</v>
      </c>
      <c r="V31" s="16">
        <v>6000</v>
      </c>
      <c r="W31" s="65">
        <v>6000</v>
      </c>
      <c r="X31" s="16">
        <v>6000</v>
      </c>
      <c r="Y31" s="16">
        <v>7200</v>
      </c>
      <c r="Z31" s="16">
        <v>6000</v>
      </c>
      <c r="AA31" s="16">
        <v>7200</v>
      </c>
      <c r="AB31" s="3">
        <v>4800</v>
      </c>
      <c r="AC31" s="16">
        <v>4800</v>
      </c>
      <c r="AD31" s="16">
        <v>4800</v>
      </c>
      <c r="AE31" s="16">
        <v>4800</v>
      </c>
      <c r="AF31" s="16">
        <v>6000</v>
      </c>
      <c r="AG31" s="16">
        <v>8400</v>
      </c>
      <c r="AH31" s="16">
        <v>8400</v>
      </c>
      <c r="AI31" s="65">
        <v>6000</v>
      </c>
      <c r="AJ31" s="16">
        <v>6000</v>
      </c>
      <c r="AK31" s="16">
        <v>3600</v>
      </c>
      <c r="AL31" s="16">
        <v>3600</v>
      </c>
      <c r="AM31" s="16">
        <v>2400</v>
      </c>
      <c r="AN31" s="16">
        <v>1200</v>
      </c>
      <c r="AO31" s="28"/>
      <c r="AP31" s="16"/>
      <c r="AQ31" s="16"/>
      <c r="AR31" s="16"/>
      <c r="AS31" s="16"/>
      <c r="AT31" s="16"/>
      <c r="AU31" s="28">
        <f t="shared" si="10"/>
        <v>109200</v>
      </c>
      <c r="AV31" s="22">
        <f t="shared" si="6"/>
        <v>0</v>
      </c>
      <c r="AW31" s="128">
        <f t="shared" si="11"/>
        <v>109200</v>
      </c>
      <c r="AX31" s="242">
        <v>0</v>
      </c>
      <c r="AY31" s="243">
        <v>109200</v>
      </c>
      <c r="AZ31" s="235">
        <v>0</v>
      </c>
      <c r="BA31" s="75">
        <f t="shared" si="12"/>
        <v>0</v>
      </c>
      <c r="BB31" s="73">
        <f t="shared" si="7"/>
        <v>0</v>
      </c>
      <c r="BC31" s="129">
        <v>109200</v>
      </c>
      <c r="BD31" s="73">
        <f t="shared" si="13"/>
        <v>0</v>
      </c>
      <c r="BE31" s="75"/>
      <c r="BF31" s="93"/>
      <c r="BG31" s="73"/>
    </row>
    <row r="32" spans="1:59" ht="15" customHeight="1" x14ac:dyDescent="0.35">
      <c r="A32" s="249" t="s">
        <v>304</v>
      </c>
      <c r="B32" s="68" t="s">
        <v>289</v>
      </c>
      <c r="C32" s="27" t="s">
        <v>324</v>
      </c>
      <c r="D32" s="69">
        <f t="shared" si="3"/>
        <v>5</v>
      </c>
      <c r="E32" s="21">
        <f>SUMIFS('Raw Data Entry'!$G:$G,'Raw Data Entry'!$B:$B,$A32,'Raw Data Entry'!$V:$V,$B32)</f>
        <v>0</v>
      </c>
      <c r="F32" s="345">
        <f t="shared" si="4"/>
        <v>0</v>
      </c>
      <c r="G32" s="348">
        <f t="shared" si="8"/>
        <v>0</v>
      </c>
      <c r="H32" s="22">
        <f>SUMIFS('Raw Data Entry'!$G:$G,'Raw Data Entry'!$B:$B,$A32,'Raw Data Entry'!$V:$V,$B32,'Raw Data Entry'!$A:$A,$B$3)</f>
        <v>0</v>
      </c>
      <c r="I32" s="16">
        <f t="shared" si="9"/>
        <v>0</v>
      </c>
      <c r="J32" s="143">
        <f t="shared" si="5"/>
        <v>0</v>
      </c>
      <c r="K32" s="28"/>
      <c r="L32" s="139"/>
      <c r="M32" s="139"/>
      <c r="N32" s="139"/>
      <c r="O32" s="139"/>
      <c r="P32" s="139"/>
      <c r="Q32" s="28"/>
      <c r="R32" s="16"/>
      <c r="S32" s="16"/>
      <c r="T32" s="16"/>
      <c r="U32" s="16">
        <v>4560</v>
      </c>
      <c r="V32" s="16">
        <v>4560</v>
      </c>
      <c r="W32" s="65">
        <v>4560</v>
      </c>
      <c r="X32" s="16">
        <v>4560</v>
      </c>
      <c r="Y32" s="16">
        <v>4560</v>
      </c>
      <c r="Z32" s="16">
        <v>4560</v>
      </c>
      <c r="AA32" s="16">
        <v>4560</v>
      </c>
      <c r="AB32" s="3">
        <v>4560</v>
      </c>
      <c r="AC32" s="16">
        <v>4560</v>
      </c>
      <c r="AD32" s="16">
        <v>4560</v>
      </c>
      <c r="AE32" s="16">
        <v>4560</v>
      </c>
      <c r="AF32" s="16">
        <v>4560</v>
      </c>
      <c r="AG32" s="16">
        <v>4560</v>
      </c>
      <c r="AH32" s="16">
        <v>4560</v>
      </c>
      <c r="AI32" s="65">
        <v>4560</v>
      </c>
      <c r="AJ32" s="16">
        <v>4560</v>
      </c>
      <c r="AK32" s="16">
        <v>4560</v>
      </c>
      <c r="AL32" s="16">
        <v>4560</v>
      </c>
      <c r="AM32" s="16">
        <v>4560</v>
      </c>
      <c r="AN32" s="16">
        <v>2280</v>
      </c>
      <c r="AO32" s="28"/>
      <c r="AP32" s="16"/>
      <c r="AQ32" s="16"/>
      <c r="AR32" s="16"/>
      <c r="AS32" s="16"/>
      <c r="AT32" s="16"/>
      <c r="AU32" s="28">
        <f t="shared" si="10"/>
        <v>88920</v>
      </c>
      <c r="AV32" s="22">
        <f t="shared" si="6"/>
        <v>0</v>
      </c>
      <c r="AW32" s="128">
        <f t="shared" si="11"/>
        <v>88920</v>
      </c>
      <c r="AX32" s="242">
        <v>0</v>
      </c>
      <c r="AY32" s="243">
        <v>88920</v>
      </c>
      <c r="AZ32" s="235">
        <v>0</v>
      </c>
      <c r="BA32" s="75">
        <f t="shared" si="12"/>
        <v>0</v>
      </c>
      <c r="BB32" s="73">
        <f t="shared" si="7"/>
        <v>0</v>
      </c>
      <c r="BC32" s="129">
        <v>88920</v>
      </c>
      <c r="BD32" s="73">
        <f t="shared" si="13"/>
        <v>0</v>
      </c>
      <c r="BE32" s="75"/>
      <c r="BF32" s="93"/>
      <c r="BG32" s="73"/>
    </row>
    <row r="33" spans="1:60" ht="15" customHeight="1" x14ac:dyDescent="0.35">
      <c r="A33" s="249" t="s">
        <v>304</v>
      </c>
      <c r="B33" s="68" t="s">
        <v>305</v>
      </c>
      <c r="C33" s="27" t="s">
        <v>324</v>
      </c>
      <c r="D33" s="69">
        <f t="shared" si="3"/>
        <v>5</v>
      </c>
      <c r="E33" s="21">
        <f>SUMIFS('Raw Data Entry'!$G:$G,'Raw Data Entry'!$B:$B,$A33,'Raw Data Entry'!$V:$V,$B33)</f>
        <v>0</v>
      </c>
      <c r="F33" s="345">
        <f t="shared" si="4"/>
        <v>0</v>
      </c>
      <c r="G33" s="348">
        <f t="shared" si="8"/>
        <v>0</v>
      </c>
      <c r="H33" s="22">
        <f>SUMIFS('Raw Data Entry'!$G:$G,'Raw Data Entry'!$B:$B,$A33,'Raw Data Entry'!$V:$V,$B33,'Raw Data Entry'!$A:$A,$B$3)</f>
        <v>0</v>
      </c>
      <c r="I33" s="16">
        <f t="shared" si="9"/>
        <v>0</v>
      </c>
      <c r="J33" s="143">
        <f t="shared" si="5"/>
        <v>0</v>
      </c>
      <c r="K33" s="28"/>
      <c r="L33" s="139"/>
      <c r="M33" s="139"/>
      <c r="N33" s="139"/>
      <c r="O33" s="139"/>
      <c r="P33" s="139"/>
      <c r="Q33" s="28"/>
      <c r="R33" s="16"/>
      <c r="S33" s="16"/>
      <c r="T33" s="16"/>
      <c r="U33" s="16">
        <v>4800</v>
      </c>
      <c r="V33" s="16">
        <v>4800</v>
      </c>
      <c r="W33" s="65">
        <v>4800</v>
      </c>
      <c r="X33" s="16">
        <v>7200</v>
      </c>
      <c r="Y33" s="16">
        <v>9600</v>
      </c>
      <c r="Z33" s="16">
        <v>7200</v>
      </c>
      <c r="AA33" s="16">
        <v>7200</v>
      </c>
      <c r="AB33" s="3">
        <v>7200</v>
      </c>
      <c r="AC33" s="16">
        <v>7200</v>
      </c>
      <c r="AD33" s="16">
        <v>7200</v>
      </c>
      <c r="AE33" s="16">
        <v>7200</v>
      </c>
      <c r="AF33" s="16">
        <v>14400</v>
      </c>
      <c r="AG33" s="16">
        <v>14400</v>
      </c>
      <c r="AH33" s="16">
        <v>14400</v>
      </c>
      <c r="AI33" s="65">
        <v>14400</v>
      </c>
      <c r="AJ33" s="16">
        <v>6000</v>
      </c>
      <c r="AK33" s="16">
        <v>4800</v>
      </c>
      <c r="AL33" s="16">
        <v>3600</v>
      </c>
      <c r="AM33" s="16">
        <v>2400</v>
      </c>
      <c r="AN33" s="16">
        <v>0</v>
      </c>
      <c r="AO33" s="28"/>
      <c r="AP33" s="16"/>
      <c r="AQ33" s="16"/>
      <c r="AR33" s="16"/>
      <c r="AS33" s="16"/>
      <c r="AT33" s="16"/>
      <c r="AU33" s="28">
        <f t="shared" si="10"/>
        <v>148800</v>
      </c>
      <c r="AV33" s="22">
        <f t="shared" si="6"/>
        <v>0</v>
      </c>
      <c r="AW33" s="128">
        <f t="shared" si="11"/>
        <v>148800</v>
      </c>
      <c r="AX33" s="242">
        <v>0</v>
      </c>
      <c r="AY33" s="243">
        <v>148800</v>
      </c>
      <c r="AZ33" s="235">
        <v>0</v>
      </c>
      <c r="BA33" s="75">
        <f t="shared" si="12"/>
        <v>0</v>
      </c>
      <c r="BB33" s="73">
        <f t="shared" si="7"/>
        <v>0</v>
      </c>
      <c r="BC33" s="129">
        <v>148800</v>
      </c>
      <c r="BD33" s="73">
        <f t="shared" si="13"/>
        <v>0</v>
      </c>
      <c r="BE33" s="75"/>
      <c r="BF33" s="93"/>
      <c r="BG33" s="73"/>
    </row>
    <row r="34" spans="1:60" ht="15" customHeight="1" x14ac:dyDescent="0.35">
      <c r="A34" s="249" t="s">
        <v>304</v>
      </c>
      <c r="B34" s="68" t="s">
        <v>306</v>
      </c>
      <c r="C34" s="27" t="s">
        <v>324</v>
      </c>
      <c r="D34" s="69">
        <f t="shared" si="3"/>
        <v>5</v>
      </c>
      <c r="E34" s="21">
        <f>SUMIFS('Raw Data Entry'!$G:$G,'Raw Data Entry'!$B:$B,$A34,'Raw Data Entry'!$V:$V,$B34)</f>
        <v>0</v>
      </c>
      <c r="F34" s="345">
        <f t="shared" si="4"/>
        <v>0</v>
      </c>
      <c r="G34" s="348">
        <f t="shared" si="8"/>
        <v>0</v>
      </c>
      <c r="H34" s="22">
        <f>SUMIFS('Raw Data Entry'!$G:$G,'Raw Data Entry'!$B:$B,$A34,'Raw Data Entry'!$V:$V,$B34,'Raw Data Entry'!$A:$A,$B$3)</f>
        <v>0</v>
      </c>
      <c r="I34" s="16">
        <f t="shared" si="9"/>
        <v>0</v>
      </c>
      <c r="J34" s="143">
        <f t="shared" si="5"/>
        <v>0</v>
      </c>
      <c r="K34" s="28"/>
      <c r="L34" s="139"/>
      <c r="M34" s="139"/>
      <c r="N34" s="139"/>
      <c r="O34" s="139"/>
      <c r="P34" s="139"/>
      <c r="Q34" s="28"/>
      <c r="R34" s="16"/>
      <c r="S34" s="16"/>
      <c r="T34" s="16"/>
      <c r="U34" s="16">
        <v>0</v>
      </c>
      <c r="V34" s="16">
        <v>0</v>
      </c>
      <c r="W34" s="65">
        <v>0</v>
      </c>
      <c r="X34" s="16">
        <v>0</v>
      </c>
      <c r="Y34" s="16">
        <v>0</v>
      </c>
      <c r="Z34" s="16">
        <v>2400</v>
      </c>
      <c r="AA34" s="16">
        <v>2400</v>
      </c>
      <c r="AB34" s="3">
        <v>1200</v>
      </c>
      <c r="AC34" s="16">
        <v>1200</v>
      </c>
      <c r="AD34" s="16">
        <v>0</v>
      </c>
      <c r="AE34" s="16">
        <v>1200</v>
      </c>
      <c r="AF34" s="16">
        <v>6000</v>
      </c>
      <c r="AG34" s="16">
        <v>6000</v>
      </c>
      <c r="AH34" s="16">
        <v>4800</v>
      </c>
      <c r="AI34" s="65">
        <v>4800</v>
      </c>
      <c r="AJ34" s="16">
        <v>3600</v>
      </c>
      <c r="AK34" s="16">
        <v>2400</v>
      </c>
      <c r="AL34" s="16">
        <v>1200</v>
      </c>
      <c r="AM34" s="16">
        <v>0</v>
      </c>
      <c r="AN34" s="16">
        <v>0</v>
      </c>
      <c r="AO34" s="28"/>
      <c r="AP34" s="16"/>
      <c r="AQ34" s="16"/>
      <c r="AR34" s="16"/>
      <c r="AS34" s="16"/>
      <c r="AT34" s="16"/>
      <c r="AU34" s="28">
        <f t="shared" si="10"/>
        <v>37200</v>
      </c>
      <c r="AV34" s="22">
        <f t="shared" si="6"/>
        <v>0</v>
      </c>
      <c r="AW34" s="128">
        <f t="shared" si="11"/>
        <v>37200</v>
      </c>
      <c r="AX34" s="242">
        <v>0</v>
      </c>
      <c r="AY34" s="243">
        <v>37200</v>
      </c>
      <c r="AZ34" s="235">
        <v>0</v>
      </c>
      <c r="BA34" s="75">
        <f t="shared" si="12"/>
        <v>0</v>
      </c>
      <c r="BB34" s="73">
        <f t="shared" si="7"/>
        <v>0</v>
      </c>
      <c r="BC34" s="129">
        <v>37200</v>
      </c>
      <c r="BD34" s="73">
        <f t="shared" si="13"/>
        <v>0</v>
      </c>
      <c r="BE34" s="75"/>
      <c r="BF34" s="93"/>
      <c r="BG34" s="73"/>
    </row>
    <row r="35" spans="1:60" ht="15" customHeight="1" x14ac:dyDescent="0.35">
      <c r="A35" s="249" t="s">
        <v>304</v>
      </c>
      <c r="B35" s="68" t="s">
        <v>290</v>
      </c>
      <c r="C35" s="27" t="s">
        <v>324</v>
      </c>
      <c r="D35" s="69">
        <f t="shared" si="3"/>
        <v>5</v>
      </c>
      <c r="E35" s="21">
        <f>SUMIFS('Raw Data Entry'!$G:$G,'Raw Data Entry'!$B:$B,$A35,'Raw Data Entry'!$V:$V,$B35)</f>
        <v>0</v>
      </c>
      <c r="F35" s="345">
        <f t="shared" si="4"/>
        <v>0</v>
      </c>
      <c r="G35" s="348">
        <f t="shared" si="8"/>
        <v>0</v>
      </c>
      <c r="H35" s="22">
        <f>SUMIFS('Raw Data Entry'!$G:$G,'Raw Data Entry'!$B:$B,$A35,'Raw Data Entry'!$V:$V,$B35,'Raw Data Entry'!$A:$A,$B$3)</f>
        <v>0</v>
      </c>
      <c r="I35" s="16">
        <f t="shared" si="9"/>
        <v>0</v>
      </c>
      <c r="J35" s="143">
        <f t="shared" si="5"/>
        <v>0</v>
      </c>
      <c r="K35" s="28"/>
      <c r="L35" s="139"/>
      <c r="M35" s="139"/>
      <c r="N35" s="139"/>
      <c r="O35" s="139"/>
      <c r="P35" s="139"/>
      <c r="Q35" s="28"/>
      <c r="R35" s="16"/>
      <c r="S35" s="16"/>
      <c r="T35" s="16"/>
      <c r="U35" s="16">
        <v>4800</v>
      </c>
      <c r="V35" s="16">
        <v>4800</v>
      </c>
      <c r="W35" s="65">
        <v>4800</v>
      </c>
      <c r="X35" s="16">
        <v>4800</v>
      </c>
      <c r="Y35" s="16">
        <v>4800</v>
      </c>
      <c r="Z35" s="16">
        <v>4800</v>
      </c>
      <c r="AA35" s="16">
        <v>4800</v>
      </c>
      <c r="AB35" s="3">
        <v>4800</v>
      </c>
      <c r="AC35" s="16">
        <v>4800</v>
      </c>
      <c r="AD35" s="16">
        <v>4800</v>
      </c>
      <c r="AE35" s="16">
        <v>4800</v>
      </c>
      <c r="AF35" s="16">
        <v>4800</v>
      </c>
      <c r="AG35" s="16">
        <v>4800</v>
      </c>
      <c r="AH35" s="16">
        <v>4800</v>
      </c>
      <c r="AI35" s="65">
        <v>4800</v>
      </c>
      <c r="AJ35" s="16">
        <v>4800</v>
      </c>
      <c r="AK35" s="16">
        <v>4800</v>
      </c>
      <c r="AL35" s="16">
        <v>4800</v>
      </c>
      <c r="AM35" s="16">
        <v>2400</v>
      </c>
      <c r="AN35" s="16">
        <v>0</v>
      </c>
      <c r="AO35" s="28"/>
      <c r="AP35" s="16"/>
      <c r="AQ35" s="16"/>
      <c r="AR35" s="16"/>
      <c r="AS35" s="16"/>
      <c r="AT35" s="16"/>
      <c r="AU35" s="28">
        <f t="shared" si="10"/>
        <v>88800</v>
      </c>
      <c r="AV35" s="22">
        <f t="shared" si="6"/>
        <v>0</v>
      </c>
      <c r="AW35" s="128">
        <f t="shared" si="11"/>
        <v>88800</v>
      </c>
      <c r="AX35" s="242">
        <v>0</v>
      </c>
      <c r="AY35" s="243">
        <v>88800</v>
      </c>
      <c r="AZ35" s="235">
        <v>0</v>
      </c>
      <c r="BA35" s="75">
        <f t="shared" si="12"/>
        <v>0</v>
      </c>
      <c r="BB35" s="73">
        <f t="shared" si="7"/>
        <v>0</v>
      </c>
      <c r="BC35" s="129">
        <v>88800</v>
      </c>
      <c r="BD35" s="73">
        <f t="shared" si="13"/>
        <v>0</v>
      </c>
      <c r="BE35" s="75"/>
      <c r="BF35" s="93"/>
      <c r="BG35" s="73"/>
    </row>
    <row r="36" spans="1:60" ht="15" customHeight="1" x14ac:dyDescent="0.35">
      <c r="A36" s="249" t="s">
        <v>307</v>
      </c>
      <c r="B36" s="68" t="s">
        <v>291</v>
      </c>
      <c r="C36" s="27" t="s">
        <v>325</v>
      </c>
      <c r="D36" s="69">
        <f t="shared" si="3"/>
        <v>6</v>
      </c>
      <c r="E36" s="21">
        <f>SUMIFS('Raw Data Entry'!$G:$G,'Raw Data Entry'!$B:$B,$A36,'Raw Data Entry'!$V:$V,$B36)</f>
        <v>0</v>
      </c>
      <c r="F36" s="345">
        <f t="shared" si="4"/>
        <v>0</v>
      </c>
      <c r="G36" s="348">
        <f t="shared" si="8"/>
        <v>0</v>
      </c>
      <c r="H36" s="22">
        <f>SUMIFS('Raw Data Entry'!$G:$G,'Raw Data Entry'!$B:$B,$A36,'Raw Data Entry'!$V:$V,$B36,'Raw Data Entry'!$A:$A,$B$3)</f>
        <v>0</v>
      </c>
      <c r="I36" s="16">
        <f t="shared" si="9"/>
        <v>0</v>
      </c>
      <c r="J36" s="143">
        <f t="shared" si="5"/>
        <v>0</v>
      </c>
      <c r="K36" s="28"/>
      <c r="L36" s="139"/>
      <c r="M36" s="139"/>
      <c r="N36" s="139"/>
      <c r="O36" s="139"/>
      <c r="P36" s="139"/>
      <c r="Q36" s="28"/>
      <c r="R36" s="16"/>
      <c r="S36" s="16"/>
      <c r="T36" s="16"/>
      <c r="U36" s="16"/>
      <c r="V36" s="16"/>
      <c r="W36" s="65"/>
      <c r="X36" s="16"/>
      <c r="Y36" s="16"/>
      <c r="Z36" s="16"/>
      <c r="AA36" s="16"/>
      <c r="AB36" s="3"/>
      <c r="AC36" s="16"/>
      <c r="AD36" s="16"/>
      <c r="AE36" s="16"/>
      <c r="AF36" s="16">
        <v>233.33333333333334</v>
      </c>
      <c r="AG36" s="16">
        <v>233.33333333333334</v>
      </c>
      <c r="AH36" s="16">
        <v>233.33333333333334</v>
      </c>
      <c r="AI36" s="65">
        <v>233.33333333333334</v>
      </c>
      <c r="AJ36" s="16">
        <v>233.33333333333334</v>
      </c>
      <c r="AK36" s="16">
        <v>233.33333333333334</v>
      </c>
      <c r="AL36" s="16"/>
      <c r="AM36" s="16"/>
      <c r="AN36" s="16"/>
      <c r="AO36" s="28"/>
      <c r="AP36" s="16"/>
      <c r="AQ36" s="16"/>
      <c r="AR36" s="16"/>
      <c r="AS36" s="16"/>
      <c r="AT36" s="16"/>
      <c r="AU36" s="28">
        <f t="shared" si="10"/>
        <v>1400</v>
      </c>
      <c r="AV36" s="22">
        <f t="shared" si="6"/>
        <v>0</v>
      </c>
      <c r="AW36" s="128">
        <f t="shared" si="11"/>
        <v>1400</v>
      </c>
      <c r="AX36" s="242">
        <v>0</v>
      </c>
      <c r="AY36" s="243">
        <v>1400</v>
      </c>
      <c r="AZ36" s="235">
        <v>0</v>
      </c>
      <c r="BA36" s="75">
        <f t="shared" si="12"/>
        <v>0</v>
      </c>
      <c r="BB36" s="73">
        <f t="shared" si="7"/>
        <v>0</v>
      </c>
      <c r="BC36" s="129">
        <v>1400</v>
      </c>
      <c r="BD36" s="73">
        <f t="shared" si="13"/>
        <v>0</v>
      </c>
      <c r="BE36" s="75"/>
      <c r="BF36" s="93"/>
      <c r="BG36" s="73"/>
    </row>
    <row r="37" spans="1:60" x14ac:dyDescent="0.35">
      <c r="A37" s="249" t="s">
        <v>307</v>
      </c>
      <c r="B37" s="68" t="s">
        <v>292</v>
      </c>
      <c r="C37" s="27" t="s">
        <v>325</v>
      </c>
      <c r="D37" s="69">
        <f t="shared" si="3"/>
        <v>6</v>
      </c>
      <c r="E37" s="21">
        <f>SUMIFS('Raw Data Entry'!$G:$G,'Raw Data Entry'!$B:$B,$A37,'Raw Data Entry'!$V:$V,$B37)</f>
        <v>0</v>
      </c>
      <c r="F37" s="345">
        <f t="shared" si="4"/>
        <v>0</v>
      </c>
      <c r="G37" s="348">
        <f t="shared" si="8"/>
        <v>0</v>
      </c>
      <c r="H37" s="22">
        <f>SUMIFS('Raw Data Entry'!$G:$G,'Raw Data Entry'!$B:$B,$A37,'Raw Data Entry'!$V:$V,$B37,'Raw Data Entry'!$A:$A,$B$3)</f>
        <v>0</v>
      </c>
      <c r="I37" s="16">
        <f t="shared" si="9"/>
        <v>0</v>
      </c>
      <c r="J37" s="143">
        <f t="shared" si="5"/>
        <v>0</v>
      </c>
      <c r="K37" s="28"/>
      <c r="L37" s="139"/>
      <c r="M37" s="139"/>
      <c r="N37" s="139"/>
      <c r="O37" s="139"/>
      <c r="P37" s="139"/>
      <c r="Q37" s="28"/>
      <c r="R37" s="16"/>
      <c r="S37" s="16"/>
      <c r="T37" s="16"/>
      <c r="U37" s="16"/>
      <c r="V37" s="16"/>
      <c r="W37" s="65"/>
      <c r="X37" s="16"/>
      <c r="Y37" s="16"/>
      <c r="Z37" s="16"/>
      <c r="AA37" s="16"/>
      <c r="AB37" s="3"/>
      <c r="AC37" s="16"/>
      <c r="AD37" s="16"/>
      <c r="AE37" s="16"/>
      <c r="AF37" s="16">
        <v>204.16666666666666</v>
      </c>
      <c r="AG37" s="16">
        <v>204.16666666666666</v>
      </c>
      <c r="AH37" s="16">
        <v>204.16666666666666</v>
      </c>
      <c r="AI37" s="65">
        <v>204.16666666666666</v>
      </c>
      <c r="AJ37" s="16">
        <v>204.16666666666666</v>
      </c>
      <c r="AK37" s="16">
        <v>204.16666666666666</v>
      </c>
      <c r="AL37" s="16"/>
      <c r="AM37" s="16"/>
      <c r="AN37" s="16"/>
      <c r="AO37" s="28"/>
      <c r="AP37" s="16"/>
      <c r="AQ37" s="16"/>
      <c r="AR37" s="16"/>
      <c r="AS37" s="16"/>
      <c r="AT37" s="16"/>
      <c r="AU37" s="28">
        <f t="shared" si="10"/>
        <v>1225</v>
      </c>
      <c r="AV37" s="22">
        <f t="shared" si="6"/>
        <v>0</v>
      </c>
      <c r="AW37" s="128">
        <f t="shared" si="11"/>
        <v>1225</v>
      </c>
      <c r="AX37" s="242">
        <v>0</v>
      </c>
      <c r="AY37" s="243">
        <v>1225</v>
      </c>
      <c r="AZ37" s="235">
        <v>0</v>
      </c>
      <c r="BA37" s="75">
        <f t="shared" si="12"/>
        <v>0</v>
      </c>
      <c r="BB37" s="73">
        <f t="shared" si="7"/>
        <v>0</v>
      </c>
      <c r="BC37" s="129">
        <v>1225</v>
      </c>
      <c r="BD37" s="73">
        <f t="shared" si="13"/>
        <v>0</v>
      </c>
      <c r="BE37" s="75"/>
      <c r="BF37" s="336"/>
      <c r="BG37" s="73"/>
    </row>
    <row r="38" spans="1:60" ht="15" customHeight="1" x14ac:dyDescent="0.35">
      <c r="A38" s="249" t="s">
        <v>307</v>
      </c>
      <c r="B38" s="68" t="s">
        <v>293</v>
      </c>
      <c r="C38" s="27" t="s">
        <v>325</v>
      </c>
      <c r="D38" s="69">
        <f t="shared" si="3"/>
        <v>6</v>
      </c>
      <c r="E38" s="21">
        <f>SUMIFS('Raw Data Entry'!$G:$G,'Raw Data Entry'!$B:$B,$A38,'Raw Data Entry'!$V:$V,$B38)</f>
        <v>0</v>
      </c>
      <c r="F38" s="345">
        <f t="shared" si="4"/>
        <v>0</v>
      </c>
      <c r="G38" s="348">
        <f t="shared" si="8"/>
        <v>0</v>
      </c>
      <c r="H38" s="22">
        <f>SUMIFS('Raw Data Entry'!$G:$G,'Raw Data Entry'!$B:$B,$A38,'Raw Data Entry'!$V:$V,$B38,'Raw Data Entry'!$A:$A,$B$3)</f>
        <v>0</v>
      </c>
      <c r="I38" s="16">
        <f t="shared" si="9"/>
        <v>0</v>
      </c>
      <c r="J38" s="143">
        <f t="shared" si="5"/>
        <v>0</v>
      </c>
      <c r="K38" s="28"/>
      <c r="L38" s="139"/>
      <c r="M38" s="139"/>
      <c r="N38" s="139"/>
      <c r="O38" s="139"/>
      <c r="P38" s="139"/>
      <c r="Q38" s="28"/>
      <c r="R38" s="16"/>
      <c r="S38" s="16"/>
      <c r="T38" s="16"/>
      <c r="U38" s="16"/>
      <c r="V38" s="16"/>
      <c r="W38" s="65"/>
      <c r="X38" s="16"/>
      <c r="Y38" s="16"/>
      <c r="Z38" s="16"/>
      <c r="AA38" s="16"/>
      <c r="AB38" s="3"/>
      <c r="AC38" s="16"/>
      <c r="AD38" s="16"/>
      <c r="AE38" s="16"/>
      <c r="AF38" s="16">
        <v>350</v>
      </c>
      <c r="AG38" s="16">
        <v>350</v>
      </c>
      <c r="AH38" s="16">
        <v>350</v>
      </c>
      <c r="AI38" s="65">
        <v>350</v>
      </c>
      <c r="AJ38" s="16">
        <v>350</v>
      </c>
      <c r="AK38" s="16">
        <v>350</v>
      </c>
      <c r="AL38" s="16"/>
      <c r="AM38" s="16"/>
      <c r="AN38" s="16"/>
      <c r="AO38" s="28"/>
      <c r="AP38" s="16"/>
      <c r="AQ38" s="16"/>
      <c r="AR38" s="16"/>
      <c r="AS38" s="16"/>
      <c r="AT38" s="16"/>
      <c r="AU38" s="28">
        <f t="shared" si="10"/>
        <v>2100</v>
      </c>
      <c r="AV38" s="22">
        <f t="shared" si="6"/>
        <v>0</v>
      </c>
      <c r="AW38" s="128">
        <f t="shared" si="11"/>
        <v>2100</v>
      </c>
      <c r="AX38" s="242">
        <v>0</v>
      </c>
      <c r="AY38" s="243">
        <v>2100</v>
      </c>
      <c r="AZ38" s="235">
        <v>0</v>
      </c>
      <c r="BA38" s="75">
        <f t="shared" si="12"/>
        <v>0</v>
      </c>
      <c r="BB38" s="73">
        <f t="shared" si="7"/>
        <v>0</v>
      </c>
      <c r="BC38" s="129">
        <v>2100</v>
      </c>
      <c r="BD38" s="73">
        <f t="shared" si="13"/>
        <v>0</v>
      </c>
      <c r="BE38" s="75"/>
      <c r="BF38" s="93"/>
      <c r="BG38" s="73"/>
      <c r="BH38" s="69"/>
    </row>
    <row r="39" spans="1:60" ht="15" customHeight="1" x14ac:dyDescent="0.35">
      <c r="A39" s="249" t="s">
        <v>307</v>
      </c>
      <c r="B39" s="68" t="s">
        <v>294</v>
      </c>
      <c r="C39" s="27" t="s">
        <v>325</v>
      </c>
      <c r="D39" s="69">
        <f t="shared" si="3"/>
        <v>6</v>
      </c>
      <c r="E39" s="21">
        <f>SUMIFS('Raw Data Entry'!$G:$G,'Raw Data Entry'!$B:$B,$A39,'Raw Data Entry'!$V:$V,$B39)</f>
        <v>0</v>
      </c>
      <c r="F39" s="345">
        <f t="shared" si="4"/>
        <v>0</v>
      </c>
      <c r="G39" s="348">
        <f t="shared" si="8"/>
        <v>0</v>
      </c>
      <c r="H39" s="22">
        <f>SUMIFS('Raw Data Entry'!$G:$G,'Raw Data Entry'!$B:$B,$A39,'Raw Data Entry'!$V:$V,$B39,'Raw Data Entry'!$A:$A,$B$3)</f>
        <v>0</v>
      </c>
      <c r="I39" s="16">
        <f t="shared" si="9"/>
        <v>0</v>
      </c>
      <c r="J39" s="143">
        <f t="shared" si="5"/>
        <v>0</v>
      </c>
      <c r="K39" s="28"/>
      <c r="L39" s="139"/>
      <c r="M39" s="139"/>
      <c r="N39" s="139"/>
      <c r="O39" s="139"/>
      <c r="P39" s="139"/>
      <c r="Q39" s="28"/>
      <c r="R39" s="16"/>
      <c r="S39" s="16"/>
      <c r="T39" s="16"/>
      <c r="U39" s="16"/>
      <c r="V39" s="16"/>
      <c r="W39" s="65"/>
      <c r="X39" s="16"/>
      <c r="Y39" s="16"/>
      <c r="Z39" s="16"/>
      <c r="AA39" s="16"/>
      <c r="AB39" s="3"/>
      <c r="AC39" s="16"/>
      <c r="AD39" s="16"/>
      <c r="AE39" s="16"/>
      <c r="AF39" s="16">
        <v>145.83333333333334</v>
      </c>
      <c r="AG39" s="16">
        <v>145.83333333333334</v>
      </c>
      <c r="AH39" s="16">
        <v>145.83333333333334</v>
      </c>
      <c r="AI39" s="65">
        <v>145.83333333333334</v>
      </c>
      <c r="AJ39" s="16">
        <v>145.83333333333334</v>
      </c>
      <c r="AK39" s="16">
        <v>145.83333333333334</v>
      </c>
      <c r="AL39" s="16"/>
      <c r="AM39" s="16"/>
      <c r="AN39" s="16"/>
      <c r="AO39" s="28"/>
      <c r="AP39" s="16"/>
      <c r="AQ39" s="16"/>
      <c r="AR39" s="16"/>
      <c r="AS39" s="16"/>
      <c r="AT39" s="16"/>
      <c r="AU39" s="28">
        <f t="shared" si="10"/>
        <v>875.00000000000011</v>
      </c>
      <c r="AV39" s="22">
        <f t="shared" si="6"/>
        <v>0</v>
      </c>
      <c r="AW39" s="128">
        <f t="shared" si="11"/>
        <v>875.00000000000011</v>
      </c>
      <c r="AX39" s="242">
        <v>0</v>
      </c>
      <c r="AY39" s="243">
        <v>875.00000000000011</v>
      </c>
      <c r="AZ39" s="235">
        <v>0</v>
      </c>
      <c r="BA39" s="75">
        <f t="shared" si="12"/>
        <v>0</v>
      </c>
      <c r="BB39" s="73">
        <f t="shared" si="7"/>
        <v>0</v>
      </c>
      <c r="BC39" s="129">
        <v>875.00000000000011</v>
      </c>
      <c r="BD39" s="73">
        <f t="shared" si="13"/>
        <v>0</v>
      </c>
      <c r="BE39" s="75"/>
      <c r="BF39" s="93"/>
      <c r="BG39" s="73"/>
      <c r="BH39" s="69"/>
    </row>
    <row r="40" spans="1:60" ht="15" customHeight="1" x14ac:dyDescent="0.35">
      <c r="A40" s="249" t="s">
        <v>307</v>
      </c>
      <c r="B40" s="68" t="s">
        <v>296</v>
      </c>
      <c r="C40" s="27" t="s">
        <v>325</v>
      </c>
      <c r="D40" s="69">
        <f t="shared" si="3"/>
        <v>6</v>
      </c>
      <c r="E40" s="21">
        <f>SUMIFS('Raw Data Entry'!$G:$G,'Raw Data Entry'!$B:$B,$A40,'Raw Data Entry'!$V:$V,$B40)</f>
        <v>0</v>
      </c>
      <c r="F40" s="345">
        <f t="shared" si="4"/>
        <v>0</v>
      </c>
      <c r="G40" s="348">
        <f t="shared" si="8"/>
        <v>0</v>
      </c>
      <c r="H40" s="22">
        <f>SUMIFS('Raw Data Entry'!$G:$G,'Raw Data Entry'!$B:$B,$A40,'Raw Data Entry'!$V:$V,$B40,'Raw Data Entry'!$A:$A,$B$3)</f>
        <v>0</v>
      </c>
      <c r="I40" s="16">
        <f t="shared" si="9"/>
        <v>0</v>
      </c>
      <c r="J40" s="143">
        <f t="shared" si="5"/>
        <v>0</v>
      </c>
      <c r="K40" s="28"/>
      <c r="L40" s="139"/>
      <c r="M40" s="139"/>
      <c r="N40" s="139"/>
      <c r="O40" s="139"/>
      <c r="P40" s="139"/>
      <c r="Q40" s="28"/>
      <c r="R40" s="16"/>
      <c r="S40" s="16"/>
      <c r="T40" s="16"/>
      <c r="U40" s="16"/>
      <c r="V40" s="16"/>
      <c r="W40" s="65"/>
      <c r="X40" s="16"/>
      <c r="Y40" s="16"/>
      <c r="Z40" s="16"/>
      <c r="AA40" s="16"/>
      <c r="AB40" s="3"/>
      <c r="AC40" s="16"/>
      <c r="AD40" s="16"/>
      <c r="AE40" s="16"/>
      <c r="AF40" s="16">
        <v>125</v>
      </c>
      <c r="AG40" s="16">
        <v>125</v>
      </c>
      <c r="AH40" s="16">
        <v>125</v>
      </c>
      <c r="AI40" s="65">
        <v>125</v>
      </c>
      <c r="AJ40" s="16">
        <v>125</v>
      </c>
      <c r="AK40" s="16">
        <v>125</v>
      </c>
      <c r="AL40" s="16"/>
      <c r="AM40" s="16"/>
      <c r="AN40" s="16"/>
      <c r="AO40" s="28"/>
      <c r="AP40" s="16"/>
      <c r="AQ40" s="16"/>
      <c r="AR40" s="16"/>
      <c r="AS40" s="16"/>
      <c r="AT40" s="16"/>
      <c r="AU40" s="28">
        <f t="shared" si="10"/>
        <v>750</v>
      </c>
      <c r="AV40" s="22">
        <f t="shared" si="6"/>
        <v>0</v>
      </c>
      <c r="AW40" s="128">
        <f t="shared" si="11"/>
        <v>750</v>
      </c>
      <c r="AX40" s="242">
        <v>0</v>
      </c>
      <c r="AY40" s="243">
        <v>750</v>
      </c>
      <c r="AZ40" s="235">
        <v>0</v>
      </c>
      <c r="BA40" s="75">
        <f t="shared" si="12"/>
        <v>0</v>
      </c>
      <c r="BB40" s="73">
        <f t="shared" si="7"/>
        <v>0</v>
      </c>
      <c r="BC40" s="129">
        <v>750</v>
      </c>
      <c r="BD40" s="73">
        <f t="shared" si="13"/>
        <v>0</v>
      </c>
      <c r="BE40" s="75"/>
      <c r="BF40" s="93"/>
      <c r="BG40" s="73"/>
      <c r="BH40" s="69"/>
    </row>
    <row r="41" spans="1:60" ht="15" customHeight="1" x14ac:dyDescent="0.35">
      <c r="A41" s="249" t="s">
        <v>309</v>
      </c>
      <c r="B41" s="68" t="s">
        <v>297</v>
      </c>
      <c r="C41" s="27" t="s">
        <v>326</v>
      </c>
      <c r="D41" s="69">
        <f t="shared" si="3"/>
        <v>7</v>
      </c>
      <c r="E41" s="21">
        <f>SUMIFS('Raw Data Entry'!$G:$G,'Raw Data Entry'!$B:$B,$A41,'Raw Data Entry'!$V:$V,$B41)</f>
        <v>0</v>
      </c>
      <c r="F41" s="345">
        <f t="shared" si="4"/>
        <v>0</v>
      </c>
      <c r="G41" s="348">
        <f t="shared" si="8"/>
        <v>0</v>
      </c>
      <c r="H41" s="22">
        <f>SUMIFS('Raw Data Entry'!$G:$G,'Raw Data Entry'!$B:$B,$A41,'Raw Data Entry'!$V:$V,$B41,'Raw Data Entry'!$A:$A,$B$3)</f>
        <v>0</v>
      </c>
      <c r="I41" s="16">
        <f t="shared" si="9"/>
        <v>0</v>
      </c>
      <c r="J41" s="143">
        <f t="shared" si="5"/>
        <v>0</v>
      </c>
      <c r="K41" s="28"/>
      <c r="L41" s="139"/>
      <c r="M41" s="139"/>
      <c r="N41" s="139"/>
      <c r="O41" s="139"/>
      <c r="P41" s="139"/>
      <c r="Q41" s="28"/>
      <c r="R41" s="16">
        <v>15000</v>
      </c>
      <c r="S41" s="16">
        <v>30000</v>
      </c>
      <c r="T41" s="16">
        <v>30000</v>
      </c>
      <c r="U41" s="16">
        <v>30000</v>
      </c>
      <c r="V41" s="16">
        <v>28000</v>
      </c>
      <c r="W41" s="65">
        <v>25000</v>
      </c>
      <c r="X41" s="16">
        <v>15000</v>
      </c>
      <c r="Y41" s="16"/>
      <c r="Z41" s="16"/>
      <c r="AA41" s="16"/>
      <c r="AB41" s="3"/>
      <c r="AC41" s="16"/>
      <c r="AD41" s="16"/>
      <c r="AE41" s="16"/>
      <c r="AF41" s="16"/>
      <c r="AG41" s="16"/>
      <c r="AH41" s="16"/>
      <c r="AI41" s="65"/>
      <c r="AJ41" s="16"/>
      <c r="AK41" s="16"/>
      <c r="AL41" s="16"/>
      <c r="AM41" s="16"/>
      <c r="AN41" s="16"/>
      <c r="AO41" s="28"/>
      <c r="AP41" s="16"/>
      <c r="AQ41" s="16"/>
      <c r="AR41" s="16"/>
      <c r="AS41" s="16"/>
      <c r="AT41" s="16"/>
      <c r="AU41" s="28">
        <f t="shared" si="10"/>
        <v>173000</v>
      </c>
      <c r="AV41" s="22">
        <f t="shared" si="6"/>
        <v>0</v>
      </c>
      <c r="AW41" s="128">
        <f t="shared" si="11"/>
        <v>173000</v>
      </c>
      <c r="AX41" s="242">
        <v>0</v>
      </c>
      <c r="AY41" s="243">
        <v>173000</v>
      </c>
      <c r="AZ41" s="235">
        <v>0</v>
      </c>
      <c r="BA41" s="75">
        <f t="shared" si="12"/>
        <v>0</v>
      </c>
      <c r="BB41" s="73">
        <f t="shared" si="7"/>
        <v>0</v>
      </c>
      <c r="BC41" s="129">
        <v>173000</v>
      </c>
      <c r="BD41" s="73">
        <f t="shared" si="13"/>
        <v>0</v>
      </c>
      <c r="BE41" s="75"/>
      <c r="BF41" s="93"/>
      <c r="BG41" s="73"/>
      <c r="BH41" s="69"/>
    </row>
    <row r="42" spans="1:60" ht="15" customHeight="1" x14ac:dyDescent="0.35">
      <c r="A42" s="249" t="s">
        <v>310</v>
      </c>
      <c r="B42" s="68" t="s">
        <v>311</v>
      </c>
      <c r="C42" s="27" t="s">
        <v>327</v>
      </c>
      <c r="D42" s="69">
        <f t="shared" si="3"/>
        <v>8</v>
      </c>
      <c r="E42" s="21">
        <f>SUMIFS('Raw Data Entry'!$G:$G,'Raw Data Entry'!$B:$B,$A42,'Raw Data Entry'!$V:$V,$B42)</f>
        <v>0</v>
      </c>
      <c r="F42" s="345">
        <f t="shared" si="4"/>
        <v>0</v>
      </c>
      <c r="G42" s="348">
        <f t="shared" si="8"/>
        <v>0</v>
      </c>
      <c r="H42" s="22">
        <f>SUMIFS('Raw Data Entry'!$G:$G,'Raw Data Entry'!$B:$B,$A42,'Raw Data Entry'!$V:$V,$B42,'Raw Data Entry'!$A:$A,$B$3)</f>
        <v>0</v>
      </c>
      <c r="I42" s="16">
        <f t="shared" si="9"/>
        <v>0</v>
      </c>
      <c r="J42" s="143">
        <f t="shared" si="5"/>
        <v>0</v>
      </c>
      <c r="K42" s="28"/>
      <c r="L42" s="139"/>
      <c r="M42" s="139"/>
      <c r="N42" s="139"/>
      <c r="O42" s="139"/>
      <c r="P42" s="139"/>
      <c r="Q42" s="28"/>
      <c r="R42" s="16"/>
      <c r="S42" s="16"/>
      <c r="T42" s="16"/>
      <c r="U42" s="16"/>
      <c r="V42" s="16"/>
      <c r="W42" s="65"/>
      <c r="X42" s="16"/>
      <c r="Y42" s="16"/>
      <c r="Z42" s="16"/>
      <c r="AA42" s="16"/>
      <c r="AB42" s="3"/>
      <c r="AC42" s="16"/>
      <c r="AD42" s="16"/>
      <c r="AE42" s="16">
        <v>10000</v>
      </c>
      <c r="AF42" s="16">
        <v>10000</v>
      </c>
      <c r="AG42" s="16"/>
      <c r="AH42" s="16"/>
      <c r="AI42" s="65"/>
      <c r="AJ42" s="16"/>
      <c r="AK42" s="16"/>
      <c r="AL42" s="16"/>
      <c r="AM42" s="16"/>
      <c r="AN42" s="16"/>
      <c r="AO42" s="28"/>
      <c r="AP42" s="16"/>
      <c r="AQ42" s="16"/>
      <c r="AR42" s="16"/>
      <c r="AS42" s="16"/>
      <c r="AT42" s="16"/>
      <c r="AU42" s="28">
        <f t="shared" si="10"/>
        <v>20000</v>
      </c>
      <c r="AV42" s="22">
        <f t="shared" si="6"/>
        <v>0</v>
      </c>
      <c r="AW42" s="128">
        <f t="shared" si="11"/>
        <v>20000</v>
      </c>
      <c r="AX42" s="242">
        <v>0</v>
      </c>
      <c r="AY42" s="243">
        <v>20000</v>
      </c>
      <c r="AZ42" s="235">
        <v>0</v>
      </c>
      <c r="BA42" s="75">
        <f t="shared" si="12"/>
        <v>0</v>
      </c>
      <c r="BB42" s="73">
        <f t="shared" si="7"/>
        <v>0</v>
      </c>
      <c r="BC42" s="129">
        <v>20000</v>
      </c>
      <c r="BD42" s="73">
        <f t="shared" si="13"/>
        <v>0</v>
      </c>
      <c r="BE42" s="75"/>
      <c r="BF42" s="93"/>
      <c r="BG42" s="73"/>
      <c r="BH42" s="69"/>
    </row>
    <row r="43" spans="1:60" ht="15" customHeight="1" x14ac:dyDescent="0.35">
      <c r="A43" s="249" t="s">
        <v>312</v>
      </c>
      <c r="B43" s="68" t="s">
        <v>313</v>
      </c>
      <c r="C43" s="27" t="s">
        <v>308</v>
      </c>
      <c r="D43" s="69">
        <f t="shared" si="3"/>
        <v>9</v>
      </c>
      <c r="E43" s="21">
        <f>SUMIFS('Raw Data Entry'!$G:$G,'Raw Data Entry'!$B:$B,$A43,'Raw Data Entry'!$V:$V,$B43)</f>
        <v>0</v>
      </c>
      <c r="F43" s="345">
        <f t="shared" si="4"/>
        <v>0</v>
      </c>
      <c r="G43" s="348">
        <f t="shared" si="8"/>
        <v>0</v>
      </c>
      <c r="H43" s="22">
        <f>SUMIFS('Raw Data Entry'!$G:$G,'Raw Data Entry'!$B:$B,$A43,'Raw Data Entry'!$V:$V,$B43,'Raw Data Entry'!$A:$A,$B$3)</f>
        <v>0</v>
      </c>
      <c r="I43" s="16">
        <f t="shared" si="9"/>
        <v>0</v>
      </c>
      <c r="J43" s="143">
        <f t="shared" si="5"/>
        <v>0</v>
      </c>
      <c r="K43" s="28"/>
      <c r="L43" s="139"/>
      <c r="M43" s="139"/>
      <c r="N43" s="139"/>
      <c r="O43" s="139"/>
      <c r="P43" s="139"/>
      <c r="Q43" s="28"/>
      <c r="R43" s="16"/>
      <c r="S43" s="16"/>
      <c r="T43" s="16"/>
      <c r="U43" s="16"/>
      <c r="V43" s="16"/>
      <c r="W43" s="65"/>
      <c r="X43" s="16"/>
      <c r="Y43" s="16"/>
      <c r="Z43" s="16"/>
      <c r="AA43" s="16"/>
      <c r="AB43" s="3"/>
      <c r="AC43" s="16"/>
      <c r="AD43" s="16"/>
      <c r="AE43" s="16"/>
      <c r="AF43" s="16">
        <v>256179.9</v>
      </c>
      <c r="AG43" s="16">
        <v>597753.11</v>
      </c>
      <c r="AH43" s="16">
        <v>597753.11</v>
      </c>
      <c r="AI43" s="65">
        <v>256179.91</v>
      </c>
      <c r="AJ43" s="16">
        <v>156709.72371199983</v>
      </c>
      <c r="AK43" s="16"/>
      <c r="AL43" s="16"/>
      <c r="AM43" s="16"/>
      <c r="AN43" s="16"/>
      <c r="AO43" s="28"/>
      <c r="AP43" s="16"/>
      <c r="AQ43" s="16"/>
      <c r="AR43" s="16"/>
      <c r="AS43" s="16"/>
      <c r="AT43" s="16"/>
      <c r="AU43" s="28">
        <f t="shared" si="10"/>
        <v>1864575.7537119999</v>
      </c>
      <c r="AV43" s="22">
        <f t="shared" si="6"/>
        <v>0</v>
      </c>
      <c r="AW43" s="128">
        <f t="shared" si="11"/>
        <v>1864575.7537119999</v>
      </c>
      <c r="AX43" s="242">
        <v>0</v>
      </c>
      <c r="AY43" s="243">
        <v>1864575.7537119999</v>
      </c>
      <c r="AZ43" s="235">
        <v>0</v>
      </c>
      <c r="BA43" s="75">
        <f t="shared" si="12"/>
        <v>0</v>
      </c>
      <c r="BB43" s="73">
        <f t="shared" si="7"/>
        <v>0</v>
      </c>
      <c r="BC43" s="129">
        <v>1864575.7537119999</v>
      </c>
      <c r="BD43" s="73">
        <f t="shared" si="13"/>
        <v>0</v>
      </c>
      <c r="BE43" s="75"/>
      <c r="BF43" s="93"/>
      <c r="BG43" s="73"/>
      <c r="BH43" s="69"/>
    </row>
    <row r="44" spans="1:60" ht="15" customHeight="1" x14ac:dyDescent="0.35">
      <c r="A44" s="249" t="s">
        <v>312</v>
      </c>
      <c r="B44" s="68" t="s">
        <v>315</v>
      </c>
      <c r="C44" s="27" t="s">
        <v>308</v>
      </c>
      <c r="D44" s="69">
        <f t="shared" si="3"/>
        <v>9</v>
      </c>
      <c r="E44" s="21">
        <f>SUMIFS('Raw Data Entry'!$G:$G,'Raw Data Entry'!$B:$B,$A44,'Raw Data Entry'!$V:$V,$B44)</f>
        <v>0</v>
      </c>
      <c r="F44" s="345">
        <f t="shared" ref="F44:F75" si="14">BD44</f>
        <v>0</v>
      </c>
      <c r="G44" s="348">
        <f t="shared" si="8"/>
        <v>0</v>
      </c>
      <c r="H44" s="22">
        <f>SUMIFS('Raw Data Entry'!$G:$G,'Raw Data Entry'!$B:$B,$A44,'Raw Data Entry'!$V:$V,$B44,'Raw Data Entry'!$A:$A,$B$3)</f>
        <v>0</v>
      </c>
      <c r="I44" s="16">
        <f t="shared" si="9"/>
        <v>0</v>
      </c>
      <c r="J44" s="143">
        <f t="shared" ref="J44:J75" si="15">BB44</f>
        <v>0</v>
      </c>
      <c r="K44" s="28"/>
      <c r="L44" s="139"/>
      <c r="M44" s="139"/>
      <c r="N44" s="139"/>
      <c r="O44" s="139"/>
      <c r="P44" s="139"/>
      <c r="Q44" s="28"/>
      <c r="R44" s="16"/>
      <c r="S44" s="16"/>
      <c r="T44" s="16">
        <v>100000</v>
      </c>
      <c r="U44" s="16">
        <v>268670.28359999997</v>
      </c>
      <c r="V44" s="16"/>
      <c r="W44" s="65"/>
      <c r="X44" s="16"/>
      <c r="Y44" s="16"/>
      <c r="Z44" s="16"/>
      <c r="AA44" s="16"/>
      <c r="AB44" s="3"/>
      <c r="AC44" s="16"/>
      <c r="AD44" s="16"/>
      <c r="AE44" s="16"/>
      <c r="AF44" s="16"/>
      <c r="AG44" s="16"/>
      <c r="AH44" s="16"/>
      <c r="AI44" s="65"/>
      <c r="AJ44" s="16"/>
      <c r="AK44" s="16"/>
      <c r="AL44" s="16"/>
      <c r="AM44" s="16"/>
      <c r="AN44" s="16"/>
      <c r="AO44" s="28"/>
      <c r="AP44" s="16"/>
      <c r="AQ44" s="16"/>
      <c r="AR44" s="16"/>
      <c r="AS44" s="16"/>
      <c r="AT44" s="16"/>
      <c r="AU44" s="28">
        <f t="shared" si="10"/>
        <v>368670.28359999997</v>
      </c>
      <c r="AV44" s="22">
        <f t="shared" ref="AV44:AV75" si="16">E44</f>
        <v>0</v>
      </c>
      <c r="AW44" s="128">
        <f t="shared" si="11"/>
        <v>368670.28359999997</v>
      </c>
      <c r="AX44" s="242">
        <v>0</v>
      </c>
      <c r="AY44" s="243">
        <v>368670.28359999997</v>
      </c>
      <c r="AZ44" s="235">
        <v>0</v>
      </c>
      <c r="BA44" s="75">
        <f t="shared" si="12"/>
        <v>0</v>
      </c>
      <c r="BB44" s="73">
        <f t="shared" ref="BB44:BB75" si="17">AZ44-H44</f>
        <v>0</v>
      </c>
      <c r="BC44" s="129">
        <v>368670.28359999997</v>
      </c>
      <c r="BD44" s="73">
        <f t="shared" si="13"/>
        <v>0</v>
      </c>
      <c r="BE44" s="75"/>
      <c r="BF44" s="93"/>
      <c r="BG44" s="73"/>
      <c r="BH44" s="69"/>
    </row>
    <row r="45" spans="1:60" ht="15" customHeight="1" x14ac:dyDescent="0.35">
      <c r="A45" s="249" t="s">
        <v>312</v>
      </c>
      <c r="B45" s="68" t="s">
        <v>314</v>
      </c>
      <c r="C45" s="27" t="s">
        <v>308</v>
      </c>
      <c r="D45" s="69">
        <f t="shared" ref="D45:D63" si="18">MATCH(A45,_xlfn.UNIQUE($A$13:$A$75),0)</f>
        <v>9</v>
      </c>
      <c r="E45" s="21">
        <f>SUMIFS('Raw Data Entry'!$G:$G,'Raw Data Entry'!$B:$B,$A45,'Raw Data Entry'!$V:$V,$B45)</f>
        <v>0</v>
      </c>
      <c r="F45" s="345">
        <f t="shared" si="14"/>
        <v>0</v>
      </c>
      <c r="G45" s="348">
        <f t="shared" si="8"/>
        <v>0</v>
      </c>
      <c r="H45" s="22">
        <f>SUMIFS('Raw Data Entry'!$G:$G,'Raw Data Entry'!$B:$B,$A45,'Raw Data Entry'!$V:$V,$B45,'Raw Data Entry'!$A:$A,$B$3)</f>
        <v>0</v>
      </c>
      <c r="I45" s="16">
        <f t="shared" si="9"/>
        <v>0</v>
      </c>
      <c r="J45" s="143">
        <f t="shared" si="15"/>
        <v>0</v>
      </c>
      <c r="K45" s="28"/>
      <c r="L45" s="139"/>
      <c r="M45" s="139"/>
      <c r="N45" s="139"/>
      <c r="O45" s="139">
        <v>23200</v>
      </c>
      <c r="P45" s="139"/>
      <c r="Q45" s="28"/>
      <c r="R45" s="16"/>
      <c r="S45" s="16"/>
      <c r="T45" s="16"/>
      <c r="U45" s="16"/>
      <c r="V45" s="16"/>
      <c r="W45" s="65"/>
      <c r="X45" s="16"/>
      <c r="Y45" s="16"/>
      <c r="Z45" s="16"/>
      <c r="AA45" s="16"/>
      <c r="AB45" s="3"/>
      <c r="AC45" s="16"/>
      <c r="AD45" s="16"/>
      <c r="AE45" s="16"/>
      <c r="AF45" s="16"/>
      <c r="AG45" s="16"/>
      <c r="AH45" s="16"/>
      <c r="AI45" s="65"/>
      <c r="AJ45" s="16"/>
      <c r="AK45" s="16"/>
      <c r="AL45" s="16"/>
      <c r="AM45" s="16"/>
      <c r="AN45" s="16"/>
      <c r="AO45" s="28"/>
      <c r="AP45" s="16"/>
      <c r="AQ45" s="16"/>
      <c r="AR45" s="16"/>
      <c r="AS45" s="16"/>
      <c r="AT45" s="16"/>
      <c r="AU45" s="28">
        <f t="shared" si="10"/>
        <v>23200</v>
      </c>
      <c r="AV45" s="22">
        <f t="shared" si="16"/>
        <v>0</v>
      </c>
      <c r="AW45" s="128">
        <f t="shared" si="11"/>
        <v>23200</v>
      </c>
      <c r="AX45" s="242">
        <v>0</v>
      </c>
      <c r="AY45" s="243">
        <v>23200</v>
      </c>
      <c r="AZ45" s="235">
        <v>0</v>
      </c>
      <c r="BA45" s="75">
        <f t="shared" si="12"/>
        <v>0</v>
      </c>
      <c r="BB45" s="73">
        <f t="shared" si="17"/>
        <v>0</v>
      </c>
      <c r="BC45" s="129">
        <v>23200</v>
      </c>
      <c r="BD45" s="73">
        <f t="shared" si="13"/>
        <v>0</v>
      </c>
      <c r="BE45" s="75"/>
      <c r="BF45" s="93"/>
      <c r="BG45" s="73"/>
      <c r="BH45" s="69"/>
    </row>
    <row r="46" spans="1:60" ht="15" customHeight="1" x14ac:dyDescent="0.35">
      <c r="A46" s="249" t="s">
        <v>317</v>
      </c>
      <c r="B46" s="68" t="s">
        <v>316</v>
      </c>
      <c r="C46" s="27" t="s">
        <v>328</v>
      </c>
      <c r="D46" s="69">
        <f t="shared" si="18"/>
        <v>10</v>
      </c>
      <c r="E46" s="21">
        <f>SUMIFS('Raw Data Entry'!$G:$G,'Raw Data Entry'!$B:$B,$A46,'Raw Data Entry'!$V:$V,$B46)</f>
        <v>0</v>
      </c>
      <c r="F46" s="345">
        <f t="shared" si="14"/>
        <v>0</v>
      </c>
      <c r="G46" s="348">
        <f t="shared" si="8"/>
        <v>0</v>
      </c>
      <c r="H46" s="22">
        <f>SUMIFS('Raw Data Entry'!$G:$G,'Raw Data Entry'!$B:$B,$A46,'Raw Data Entry'!$V:$V,$B46,'Raw Data Entry'!$A:$A,$B$3)</f>
        <v>0</v>
      </c>
      <c r="I46" s="16">
        <f t="shared" si="9"/>
        <v>0</v>
      </c>
      <c r="J46" s="143">
        <f t="shared" si="15"/>
        <v>0</v>
      </c>
      <c r="K46" s="28"/>
      <c r="L46" s="139"/>
      <c r="M46" s="139"/>
      <c r="N46" s="139"/>
      <c r="O46" s="139">
        <v>480</v>
      </c>
      <c r="P46" s="139">
        <v>480</v>
      </c>
      <c r="Q46" s="28">
        <v>480</v>
      </c>
      <c r="R46" s="16">
        <v>480</v>
      </c>
      <c r="S46" s="16">
        <v>480</v>
      </c>
      <c r="T46" s="16">
        <v>480</v>
      </c>
      <c r="U46" s="16">
        <v>1766.67</v>
      </c>
      <c r="V46" s="16">
        <v>1766.67</v>
      </c>
      <c r="W46" s="65">
        <v>1766.67</v>
      </c>
      <c r="X46" s="16">
        <v>0</v>
      </c>
      <c r="Y46" s="16">
        <v>0</v>
      </c>
      <c r="Z46" s="16">
        <v>0</v>
      </c>
      <c r="AA46" s="16">
        <v>0</v>
      </c>
      <c r="AB46" s="3">
        <v>0</v>
      </c>
      <c r="AC46" s="16">
        <v>0</v>
      </c>
      <c r="AD46" s="16">
        <v>0</v>
      </c>
      <c r="AE46" s="16">
        <v>0</v>
      </c>
      <c r="AF46" s="16">
        <v>7500</v>
      </c>
      <c r="AG46" s="16">
        <v>7500</v>
      </c>
      <c r="AH46" s="16">
        <v>7500</v>
      </c>
      <c r="AI46" s="65">
        <v>7500</v>
      </c>
      <c r="AJ46" s="16">
        <v>0</v>
      </c>
      <c r="AK46" s="16">
        <v>0</v>
      </c>
      <c r="AL46" s="16">
        <v>0</v>
      </c>
      <c r="AM46" s="16">
        <v>0</v>
      </c>
      <c r="AN46" s="16">
        <v>0</v>
      </c>
      <c r="AO46" s="28">
        <v>0</v>
      </c>
      <c r="AP46" s="16">
        <v>0</v>
      </c>
      <c r="AQ46" s="16">
        <v>0</v>
      </c>
      <c r="AR46" s="16"/>
      <c r="AS46" s="16"/>
      <c r="AT46" s="16"/>
      <c r="AU46" s="28">
        <f t="shared" ref="AU46" si="19">SUM(K46:AT46)</f>
        <v>38180.01</v>
      </c>
      <c r="AV46" s="22">
        <f t="shared" si="16"/>
        <v>0</v>
      </c>
      <c r="AW46" s="128">
        <f t="shared" ref="AW46" si="20">SUM(AU46:AV46)</f>
        <v>38180.01</v>
      </c>
      <c r="AX46" s="242">
        <v>0</v>
      </c>
      <c r="AY46" s="243">
        <v>38180.01</v>
      </c>
      <c r="AZ46" s="235">
        <v>0</v>
      </c>
      <c r="BA46" s="75">
        <f t="shared" si="12"/>
        <v>0</v>
      </c>
      <c r="BB46" s="73">
        <f t="shared" si="17"/>
        <v>0</v>
      </c>
      <c r="BC46" s="129">
        <v>38180.01</v>
      </c>
      <c r="BD46" s="73">
        <f t="shared" si="13"/>
        <v>0</v>
      </c>
      <c r="BE46" s="75"/>
      <c r="BF46" s="93"/>
      <c r="BG46" s="73"/>
      <c r="BH46" s="69"/>
    </row>
    <row r="47" spans="1:60" ht="15" customHeight="1" x14ac:dyDescent="0.35">
      <c r="A47" s="249" t="s">
        <v>318</v>
      </c>
      <c r="B47" s="68" t="s">
        <v>323</v>
      </c>
      <c r="C47" s="27" t="s">
        <v>329</v>
      </c>
      <c r="D47" s="69">
        <f t="shared" si="18"/>
        <v>11</v>
      </c>
      <c r="E47" s="21">
        <f>SUMIFS('Raw Data Entry'!$G:$G,'Raw Data Entry'!$B:$B,$A47,'Raw Data Entry'!$V:$V,$B47)</f>
        <v>0</v>
      </c>
      <c r="F47" s="345">
        <f t="shared" ref="F47" si="21">BD47</f>
        <v>0</v>
      </c>
      <c r="G47" s="348">
        <f t="shared" ref="G47" si="22">BA47</f>
        <v>0</v>
      </c>
      <c r="H47" s="22">
        <f>SUMIFS('Raw Data Entry'!$G:$G,'Raw Data Entry'!$B:$B,$A47,'Raw Data Entry'!$V:$V,$B47,'Raw Data Entry'!$A:$A,$B$3)</f>
        <v>0</v>
      </c>
      <c r="I47" s="16">
        <f t="shared" ref="I47" si="23">AZ47</f>
        <v>0</v>
      </c>
      <c r="J47" s="143">
        <f t="shared" si="15"/>
        <v>0</v>
      </c>
      <c r="K47" s="28"/>
      <c r="L47" s="139"/>
      <c r="M47" s="139"/>
      <c r="N47" s="139"/>
      <c r="O47" s="139"/>
      <c r="P47" s="139"/>
      <c r="Q47" s="28"/>
      <c r="R47" s="16"/>
      <c r="S47" s="16"/>
      <c r="T47" s="16"/>
      <c r="U47" s="16"/>
      <c r="V47" s="16"/>
      <c r="W47" s="65"/>
      <c r="X47" s="16"/>
      <c r="Y47" s="16"/>
      <c r="Z47" s="16"/>
      <c r="AA47" s="16"/>
      <c r="AB47" s="3"/>
      <c r="AC47" s="16"/>
      <c r="AD47" s="16"/>
      <c r="AE47" s="16"/>
      <c r="AF47" s="16"/>
      <c r="AG47" s="16"/>
      <c r="AH47" s="16"/>
      <c r="AI47" s="65">
        <v>2400</v>
      </c>
      <c r="AJ47" s="16">
        <v>6000</v>
      </c>
      <c r="AK47" s="16">
        <v>9600</v>
      </c>
      <c r="AL47" s="16">
        <v>9600</v>
      </c>
      <c r="AM47" s="16">
        <v>8400</v>
      </c>
      <c r="AN47" s="16">
        <v>6000</v>
      </c>
      <c r="AO47" s="28"/>
      <c r="AP47" s="16"/>
      <c r="AQ47" s="16"/>
      <c r="AR47" s="16"/>
      <c r="AS47" s="16"/>
      <c r="AT47" s="16"/>
      <c r="AU47" s="28">
        <f t="shared" ref="AU47" si="24">SUM(K47:AT47)</f>
        <v>42000</v>
      </c>
      <c r="AV47" s="22">
        <f t="shared" si="16"/>
        <v>0</v>
      </c>
      <c r="AW47" s="128">
        <f t="shared" ref="AW47" si="25">SUM(AU47:AV47)</f>
        <v>42000</v>
      </c>
      <c r="AX47" s="242">
        <v>0</v>
      </c>
      <c r="AY47" s="243">
        <v>42000</v>
      </c>
      <c r="AZ47" s="235">
        <v>0</v>
      </c>
      <c r="BA47" s="75">
        <f t="shared" ref="BA47" si="26">AY47-AW47</f>
        <v>0</v>
      </c>
      <c r="BB47" s="73">
        <f t="shared" si="17"/>
        <v>0</v>
      </c>
      <c r="BC47" s="129">
        <v>42000</v>
      </c>
      <c r="BD47" s="73">
        <f t="shared" ref="BD47" si="27">BC47-AW47</f>
        <v>0</v>
      </c>
      <c r="BE47" s="75"/>
      <c r="BF47" s="93"/>
      <c r="BG47" s="73"/>
      <c r="BH47" s="69"/>
    </row>
    <row r="48" spans="1:60" ht="15" customHeight="1" x14ac:dyDescent="0.35">
      <c r="A48" s="249" t="s">
        <v>319</v>
      </c>
      <c r="B48" s="68" t="s">
        <v>321</v>
      </c>
      <c r="C48" s="27" t="s">
        <v>329</v>
      </c>
      <c r="D48" s="69">
        <f t="shared" si="18"/>
        <v>12</v>
      </c>
      <c r="E48" s="21">
        <f>SUMIFS('Raw Data Entry'!$G:$G,'Raw Data Entry'!$B:$B,$A48,'Raw Data Entry'!$V:$V,$B48)</f>
        <v>0</v>
      </c>
      <c r="F48" s="345">
        <f t="shared" si="14"/>
        <v>0</v>
      </c>
      <c r="G48" s="348">
        <f t="shared" si="8"/>
        <v>0</v>
      </c>
      <c r="H48" s="22">
        <f>SUMIFS('Raw Data Entry'!$G:$G,'Raw Data Entry'!$B:$B,$A48,'Raw Data Entry'!$V:$V,$B48,'Raw Data Entry'!$A:$A,$B$3)</f>
        <v>0</v>
      </c>
      <c r="I48" s="16">
        <f t="shared" si="9"/>
        <v>0</v>
      </c>
      <c r="J48" s="143">
        <f t="shared" si="15"/>
        <v>0</v>
      </c>
      <c r="K48" s="28"/>
      <c r="L48" s="139"/>
      <c r="M48" s="139"/>
      <c r="N48" s="139"/>
      <c r="O48" s="139"/>
      <c r="P48" s="139"/>
      <c r="Q48" s="28"/>
      <c r="R48" s="16"/>
      <c r="S48" s="16"/>
      <c r="T48" s="16"/>
      <c r="U48" s="16"/>
      <c r="V48" s="16"/>
      <c r="W48" s="65"/>
      <c r="X48" s="16"/>
      <c r="Y48" s="16"/>
      <c r="Z48" s="16"/>
      <c r="AA48" s="16"/>
      <c r="AB48" s="3"/>
      <c r="AC48" s="16"/>
      <c r="AD48" s="16"/>
      <c r="AE48" s="16"/>
      <c r="AF48" s="16"/>
      <c r="AG48" s="16"/>
      <c r="AH48" s="16"/>
      <c r="AI48" s="65"/>
      <c r="AJ48" s="16">
        <v>2000</v>
      </c>
      <c r="AK48" s="16">
        <v>1000</v>
      </c>
      <c r="AL48" s="16">
        <v>1000</v>
      </c>
      <c r="AM48" s="16"/>
      <c r="AN48" s="16"/>
      <c r="AO48" s="28"/>
      <c r="AP48" s="16"/>
      <c r="AQ48" s="16"/>
      <c r="AR48" s="16"/>
      <c r="AS48" s="16"/>
      <c r="AT48" s="16"/>
      <c r="AU48" s="28">
        <f t="shared" si="10"/>
        <v>4000</v>
      </c>
      <c r="AV48" s="22">
        <f t="shared" si="16"/>
        <v>0</v>
      </c>
      <c r="AW48" s="128">
        <f t="shared" si="11"/>
        <v>4000</v>
      </c>
      <c r="AX48" s="242">
        <v>0</v>
      </c>
      <c r="AY48" s="243">
        <v>4000</v>
      </c>
      <c r="AZ48" s="235">
        <v>0</v>
      </c>
      <c r="BA48" s="75">
        <f t="shared" si="12"/>
        <v>0</v>
      </c>
      <c r="BB48" s="73">
        <f t="shared" si="17"/>
        <v>0</v>
      </c>
      <c r="BC48" s="129">
        <v>4000</v>
      </c>
      <c r="BD48" s="73">
        <f t="shared" si="13"/>
        <v>0</v>
      </c>
      <c r="BE48" s="75"/>
      <c r="BF48" s="93"/>
      <c r="BG48" s="73"/>
      <c r="BH48" s="69"/>
    </row>
    <row r="49" spans="1:60" ht="15" customHeight="1" x14ac:dyDescent="0.35">
      <c r="A49" s="249" t="s">
        <v>320</v>
      </c>
      <c r="B49" s="68" t="s">
        <v>322</v>
      </c>
      <c r="C49" s="27" t="s">
        <v>330</v>
      </c>
      <c r="D49" s="69">
        <f t="shared" si="18"/>
        <v>13</v>
      </c>
      <c r="E49" s="21">
        <f>SUMIFS('Raw Data Entry'!$G:$G,'Raw Data Entry'!$B:$B,$A49,'Raw Data Entry'!$V:$V,$B49)</f>
        <v>0</v>
      </c>
      <c r="F49" s="345">
        <f t="shared" si="14"/>
        <v>0</v>
      </c>
      <c r="G49" s="348">
        <f t="shared" si="8"/>
        <v>0</v>
      </c>
      <c r="H49" s="22">
        <f>SUMIFS('Raw Data Entry'!$G:$G,'Raw Data Entry'!$B:$B,$A49,'Raw Data Entry'!$V:$V,$B49,'Raw Data Entry'!$A:$A,$B$3)</f>
        <v>0</v>
      </c>
      <c r="I49" s="16">
        <f t="shared" si="9"/>
        <v>0</v>
      </c>
      <c r="J49" s="143">
        <f t="shared" si="15"/>
        <v>0</v>
      </c>
      <c r="K49" s="28"/>
      <c r="L49" s="139"/>
      <c r="M49" s="139"/>
      <c r="N49" s="139"/>
      <c r="O49" s="139"/>
      <c r="P49" s="139"/>
      <c r="Q49" s="28"/>
      <c r="R49" s="16"/>
      <c r="S49" s="16"/>
      <c r="T49" s="16">
        <v>289666.59906840004</v>
      </c>
      <c r="U49" s="16"/>
      <c r="V49" s="16"/>
      <c r="W49" s="65"/>
      <c r="X49" s="16"/>
      <c r="Y49" s="16"/>
      <c r="Z49" s="16">
        <v>289666.59906840004</v>
      </c>
      <c r="AA49" s="16"/>
      <c r="AB49" s="3"/>
      <c r="AC49" s="16"/>
      <c r="AD49" s="16"/>
      <c r="AE49" s="16"/>
      <c r="AF49" s="16"/>
      <c r="AG49" s="16">
        <v>96555.533022799995</v>
      </c>
      <c r="AH49" s="16">
        <v>96555.533022799995</v>
      </c>
      <c r="AI49" s="65"/>
      <c r="AJ49" s="16"/>
      <c r="AK49" s="16"/>
      <c r="AL49" s="16"/>
      <c r="AM49" s="16"/>
      <c r="AN49" s="16"/>
      <c r="AO49" s="28"/>
      <c r="AP49" s="16"/>
      <c r="AQ49" s="16"/>
      <c r="AR49" s="16"/>
      <c r="AS49" s="16"/>
      <c r="AT49" s="16"/>
      <c r="AU49" s="28">
        <f t="shared" si="10"/>
        <v>772444.26418240007</v>
      </c>
      <c r="AV49" s="22">
        <f t="shared" si="16"/>
        <v>0</v>
      </c>
      <c r="AW49" s="128">
        <f t="shared" si="11"/>
        <v>772444.26418240007</v>
      </c>
      <c r="AX49" s="242">
        <v>0</v>
      </c>
      <c r="AY49" s="243">
        <v>772444.26418240007</v>
      </c>
      <c r="AZ49" s="235">
        <v>0</v>
      </c>
      <c r="BA49" s="75">
        <f t="shared" si="12"/>
        <v>0</v>
      </c>
      <c r="BB49" s="73">
        <f t="shared" si="17"/>
        <v>0</v>
      </c>
      <c r="BC49" s="129">
        <v>772444.26418240007</v>
      </c>
      <c r="BD49" s="73">
        <f t="shared" si="13"/>
        <v>0</v>
      </c>
      <c r="BE49" s="75"/>
      <c r="BF49" s="93"/>
      <c r="BG49" s="73"/>
      <c r="BH49" s="69"/>
    </row>
    <row r="50" spans="1:60" ht="15" customHeight="1" x14ac:dyDescent="0.35">
      <c r="A50" s="249"/>
      <c r="B50" s="68"/>
      <c r="C50" s="27"/>
      <c r="D50" s="69" t="e">
        <f t="shared" si="18"/>
        <v>#N/A</v>
      </c>
      <c r="E50" s="21">
        <f>SUMIFS('Raw Data Entry'!$G:$G,'Raw Data Entry'!$B:$B,$A50,'Raw Data Entry'!$V:$V,$B50)</f>
        <v>0</v>
      </c>
      <c r="F50" s="345">
        <f t="shared" si="14"/>
        <v>0</v>
      </c>
      <c r="G50" s="348">
        <f t="shared" si="8"/>
        <v>0</v>
      </c>
      <c r="H50" s="22">
        <f>SUMIFS('Raw Data Entry'!$G:$G,'Raw Data Entry'!$B:$B,$A50,'Raw Data Entry'!$V:$V,$B50,'Raw Data Entry'!$A:$A,$B$3)</f>
        <v>0</v>
      </c>
      <c r="I50" s="16">
        <f t="shared" si="9"/>
        <v>0</v>
      </c>
      <c r="J50" s="143">
        <f t="shared" si="15"/>
        <v>0</v>
      </c>
      <c r="K50" s="28"/>
      <c r="L50" s="139"/>
      <c r="M50" s="139"/>
      <c r="N50" s="139"/>
      <c r="O50" s="139"/>
      <c r="P50" s="139"/>
      <c r="Q50" s="28"/>
      <c r="R50" s="16"/>
      <c r="S50" s="16"/>
      <c r="T50" s="16"/>
      <c r="U50" s="16"/>
      <c r="V50" s="16"/>
      <c r="W50" s="65"/>
      <c r="X50" s="16"/>
      <c r="Y50" s="16"/>
      <c r="Z50" s="16"/>
      <c r="AA50" s="16"/>
      <c r="AB50" s="3"/>
      <c r="AC50" s="16"/>
      <c r="AD50" s="16"/>
      <c r="AE50" s="16"/>
      <c r="AF50" s="16"/>
      <c r="AG50" s="16"/>
      <c r="AH50" s="16"/>
      <c r="AI50" s="65"/>
      <c r="AJ50" s="16"/>
      <c r="AK50" s="16"/>
      <c r="AL50" s="16"/>
      <c r="AM50" s="16"/>
      <c r="AN50" s="16"/>
      <c r="AO50" s="28"/>
      <c r="AP50" s="16"/>
      <c r="AQ50" s="16"/>
      <c r="AR50" s="16"/>
      <c r="AS50" s="16"/>
      <c r="AT50" s="16"/>
      <c r="AU50" s="28">
        <f t="shared" si="10"/>
        <v>0</v>
      </c>
      <c r="AV50" s="22">
        <f t="shared" si="16"/>
        <v>0</v>
      </c>
      <c r="AW50" s="128">
        <f t="shared" si="11"/>
        <v>0</v>
      </c>
      <c r="AX50" s="242">
        <v>0</v>
      </c>
      <c r="AY50" s="243"/>
      <c r="AZ50" s="235">
        <v>0</v>
      </c>
      <c r="BA50" s="75">
        <f t="shared" si="12"/>
        <v>0</v>
      </c>
      <c r="BB50" s="73">
        <f t="shared" si="17"/>
        <v>0</v>
      </c>
      <c r="BC50" s="129"/>
      <c r="BD50" s="73">
        <f t="shared" si="13"/>
        <v>0</v>
      </c>
      <c r="BE50" s="75"/>
      <c r="BF50" s="93"/>
      <c r="BG50" s="73"/>
      <c r="BH50" s="69"/>
    </row>
    <row r="51" spans="1:60" x14ac:dyDescent="0.35">
      <c r="A51" s="249"/>
      <c r="B51" s="68"/>
      <c r="C51" s="27"/>
      <c r="D51" s="69" t="e">
        <f t="shared" si="18"/>
        <v>#N/A</v>
      </c>
      <c r="E51" s="21">
        <f>SUMIFS('Raw Data Entry'!$G:$G,'Raw Data Entry'!$B:$B,$A51,'Raw Data Entry'!$V:$V,$B51)</f>
        <v>0</v>
      </c>
      <c r="F51" s="345">
        <f t="shared" si="14"/>
        <v>0</v>
      </c>
      <c r="G51" s="348">
        <f t="shared" si="8"/>
        <v>0</v>
      </c>
      <c r="H51" s="22">
        <f>SUMIFS('Raw Data Entry'!$G:$G,'Raw Data Entry'!$B:$B,$A51,'Raw Data Entry'!$V:$V,$B51,'Raw Data Entry'!$A:$A,$B$3)</f>
        <v>0</v>
      </c>
      <c r="I51" s="16">
        <f t="shared" si="9"/>
        <v>0</v>
      </c>
      <c r="J51" s="143">
        <f t="shared" si="15"/>
        <v>0</v>
      </c>
      <c r="K51" s="28"/>
      <c r="L51" s="139"/>
      <c r="M51" s="139"/>
      <c r="N51" s="139"/>
      <c r="O51" s="139"/>
      <c r="P51" s="139"/>
      <c r="Q51" s="28"/>
      <c r="R51" s="16"/>
      <c r="S51" s="16"/>
      <c r="T51" s="16"/>
      <c r="U51" s="16"/>
      <c r="V51" s="16"/>
      <c r="W51" s="65"/>
      <c r="X51" s="16"/>
      <c r="Y51" s="16"/>
      <c r="Z51" s="16"/>
      <c r="AA51" s="16"/>
      <c r="AB51" s="3"/>
      <c r="AC51" s="16"/>
      <c r="AD51" s="16"/>
      <c r="AE51" s="16"/>
      <c r="AF51" s="16"/>
      <c r="AG51" s="16"/>
      <c r="AH51" s="16"/>
      <c r="AI51" s="65"/>
      <c r="AJ51" s="16"/>
      <c r="AK51" s="16"/>
      <c r="AL51" s="16"/>
      <c r="AM51" s="16"/>
      <c r="AN51" s="16"/>
      <c r="AO51" s="28"/>
      <c r="AP51" s="16"/>
      <c r="AQ51" s="16"/>
      <c r="AR51" s="16"/>
      <c r="AS51" s="16"/>
      <c r="AT51" s="16"/>
      <c r="AU51" s="28">
        <f t="shared" si="10"/>
        <v>0</v>
      </c>
      <c r="AV51" s="22">
        <f t="shared" si="16"/>
        <v>0</v>
      </c>
      <c r="AW51" s="128">
        <f t="shared" si="11"/>
        <v>0</v>
      </c>
      <c r="AX51" s="242">
        <v>0</v>
      </c>
      <c r="AY51" s="243"/>
      <c r="AZ51" s="235">
        <v>0</v>
      </c>
      <c r="BA51" s="75">
        <f t="shared" si="12"/>
        <v>0</v>
      </c>
      <c r="BB51" s="73">
        <f t="shared" si="17"/>
        <v>0</v>
      </c>
      <c r="BC51" s="129"/>
      <c r="BD51" s="73">
        <f t="shared" si="13"/>
        <v>0</v>
      </c>
      <c r="BE51" s="75"/>
      <c r="BF51" s="93"/>
      <c r="BG51" s="335"/>
      <c r="BH51" s="69"/>
    </row>
    <row r="52" spans="1:60" ht="15" customHeight="1" x14ac:dyDescent="0.35">
      <c r="A52" s="249"/>
      <c r="B52" s="68"/>
      <c r="C52" s="27"/>
      <c r="D52" s="69" t="e">
        <f t="shared" si="18"/>
        <v>#N/A</v>
      </c>
      <c r="E52" s="21">
        <f>SUMIFS('Raw Data Entry'!$G:$G,'Raw Data Entry'!$B:$B,$A52,'Raw Data Entry'!$V:$V,$B52)</f>
        <v>0</v>
      </c>
      <c r="F52" s="345">
        <f t="shared" si="14"/>
        <v>0</v>
      </c>
      <c r="G52" s="348">
        <f t="shared" si="8"/>
        <v>0</v>
      </c>
      <c r="H52" s="22">
        <f>SUMIFS('Raw Data Entry'!$G:$G,'Raw Data Entry'!$B:$B,$A52,'Raw Data Entry'!$V:$V,$B52,'Raw Data Entry'!$A:$A,$B$3)</f>
        <v>0</v>
      </c>
      <c r="I52" s="16">
        <f t="shared" si="9"/>
        <v>0</v>
      </c>
      <c r="J52" s="143">
        <f t="shared" si="15"/>
        <v>0</v>
      </c>
      <c r="K52" s="28"/>
      <c r="L52" s="139"/>
      <c r="M52" s="139"/>
      <c r="N52" s="139"/>
      <c r="O52" s="139"/>
      <c r="P52" s="139"/>
      <c r="Q52" s="28"/>
      <c r="R52" s="16"/>
      <c r="S52" s="16"/>
      <c r="T52" s="16"/>
      <c r="U52" s="16"/>
      <c r="V52" s="16"/>
      <c r="W52" s="65"/>
      <c r="X52" s="16"/>
      <c r="Y52" s="16"/>
      <c r="Z52" s="16"/>
      <c r="AA52" s="16"/>
      <c r="AB52" s="3"/>
      <c r="AC52" s="16"/>
      <c r="AD52" s="16"/>
      <c r="AE52" s="16"/>
      <c r="AF52" s="16"/>
      <c r="AG52" s="16"/>
      <c r="AH52" s="16"/>
      <c r="AI52" s="65"/>
      <c r="AJ52" s="16"/>
      <c r="AK52" s="16"/>
      <c r="AL52" s="16"/>
      <c r="AM52" s="16"/>
      <c r="AN52" s="16"/>
      <c r="AO52" s="28"/>
      <c r="AP52" s="16"/>
      <c r="AQ52" s="16"/>
      <c r="AR52" s="16"/>
      <c r="AS52" s="16"/>
      <c r="AT52" s="16"/>
      <c r="AU52" s="28">
        <f t="shared" si="10"/>
        <v>0</v>
      </c>
      <c r="AV52" s="22">
        <f t="shared" si="16"/>
        <v>0</v>
      </c>
      <c r="AW52" s="128">
        <f t="shared" si="11"/>
        <v>0</v>
      </c>
      <c r="AX52" s="242">
        <v>0</v>
      </c>
      <c r="AY52" s="243"/>
      <c r="AZ52" s="235">
        <v>0</v>
      </c>
      <c r="BA52" s="75">
        <f t="shared" si="12"/>
        <v>0</v>
      </c>
      <c r="BB52" s="73">
        <f t="shared" si="17"/>
        <v>0</v>
      </c>
      <c r="BC52" s="129"/>
      <c r="BD52" s="73">
        <f t="shared" si="13"/>
        <v>0</v>
      </c>
      <c r="BE52" s="75"/>
      <c r="BF52" s="93"/>
      <c r="BG52" s="73"/>
      <c r="BH52" s="69"/>
    </row>
    <row r="53" spans="1:60" ht="15" customHeight="1" x14ac:dyDescent="0.35">
      <c r="A53" s="249"/>
      <c r="B53" s="68"/>
      <c r="C53" s="27"/>
      <c r="D53" s="69" t="e">
        <f t="shared" si="18"/>
        <v>#N/A</v>
      </c>
      <c r="E53" s="21">
        <f>SUMIFS('Raw Data Entry'!$G:$G,'Raw Data Entry'!$B:$B,$A53,'Raw Data Entry'!$V:$V,$B53)</f>
        <v>0</v>
      </c>
      <c r="F53" s="345">
        <f t="shared" si="14"/>
        <v>0</v>
      </c>
      <c r="G53" s="348">
        <f t="shared" si="8"/>
        <v>0</v>
      </c>
      <c r="H53" s="22">
        <f>SUMIFS('Raw Data Entry'!$G:$G,'Raw Data Entry'!$B:$B,$A53,'Raw Data Entry'!$V:$V,$B53,'Raw Data Entry'!$A:$A,$B$3)</f>
        <v>0</v>
      </c>
      <c r="I53" s="16">
        <f t="shared" si="9"/>
        <v>0</v>
      </c>
      <c r="J53" s="143">
        <f t="shared" si="15"/>
        <v>0</v>
      </c>
      <c r="K53" s="28"/>
      <c r="L53" s="139"/>
      <c r="M53" s="139"/>
      <c r="N53" s="139"/>
      <c r="O53" s="139"/>
      <c r="P53" s="139"/>
      <c r="Q53" s="28"/>
      <c r="R53" s="16"/>
      <c r="S53" s="16"/>
      <c r="T53" s="16"/>
      <c r="U53" s="16"/>
      <c r="V53" s="16"/>
      <c r="W53" s="65"/>
      <c r="X53" s="16"/>
      <c r="Y53" s="16"/>
      <c r="Z53" s="16"/>
      <c r="AA53" s="16"/>
      <c r="AB53" s="3"/>
      <c r="AC53" s="16"/>
      <c r="AD53" s="16"/>
      <c r="AE53" s="16"/>
      <c r="AF53" s="16"/>
      <c r="AG53" s="16"/>
      <c r="AH53" s="16"/>
      <c r="AI53" s="65"/>
      <c r="AJ53" s="16"/>
      <c r="AK53" s="16"/>
      <c r="AL53" s="16"/>
      <c r="AM53" s="16"/>
      <c r="AN53" s="16"/>
      <c r="AO53" s="28"/>
      <c r="AP53" s="16"/>
      <c r="AQ53" s="16"/>
      <c r="AR53" s="16"/>
      <c r="AS53" s="16"/>
      <c r="AT53" s="16"/>
      <c r="AU53" s="28">
        <f t="shared" si="10"/>
        <v>0</v>
      </c>
      <c r="AV53" s="22">
        <f t="shared" si="16"/>
        <v>0</v>
      </c>
      <c r="AW53" s="128">
        <f t="shared" si="11"/>
        <v>0</v>
      </c>
      <c r="AX53" s="242">
        <f t="shared" ref="AX53:AX75" si="28">L53</f>
        <v>0</v>
      </c>
      <c r="AY53" s="243"/>
      <c r="AZ53" s="235"/>
      <c r="BA53" s="75">
        <f t="shared" si="12"/>
        <v>0</v>
      </c>
      <c r="BB53" s="73">
        <f t="shared" si="17"/>
        <v>0</v>
      </c>
      <c r="BC53" s="129"/>
      <c r="BD53" s="73">
        <f t="shared" si="13"/>
        <v>0</v>
      </c>
      <c r="BE53" s="75"/>
      <c r="BF53" s="93"/>
      <c r="BG53" s="73"/>
      <c r="BH53" s="69"/>
    </row>
    <row r="54" spans="1:60" ht="15" customHeight="1" x14ac:dyDescent="0.35">
      <c r="A54" s="249"/>
      <c r="B54" s="68"/>
      <c r="C54" s="27"/>
      <c r="D54" s="69" t="e">
        <f t="shared" si="18"/>
        <v>#N/A</v>
      </c>
      <c r="E54" s="21">
        <f>SUMIFS('Raw Data Entry'!$G:$G,'Raw Data Entry'!$B:$B,$A54,'Raw Data Entry'!$V:$V,$B54)</f>
        <v>0</v>
      </c>
      <c r="F54" s="345">
        <f t="shared" si="14"/>
        <v>0</v>
      </c>
      <c r="G54" s="348">
        <f t="shared" si="8"/>
        <v>0</v>
      </c>
      <c r="H54" s="22">
        <f>SUMIFS('Raw Data Entry'!$G:$G,'Raw Data Entry'!$B:$B,$A54,'Raw Data Entry'!$V:$V,$B54,'Raw Data Entry'!$A:$A,$B$3)</f>
        <v>0</v>
      </c>
      <c r="I54" s="16">
        <f t="shared" si="9"/>
        <v>0</v>
      </c>
      <c r="J54" s="143">
        <f t="shared" si="15"/>
        <v>0</v>
      </c>
      <c r="K54" s="28"/>
      <c r="L54" s="139"/>
      <c r="M54" s="139"/>
      <c r="N54" s="139"/>
      <c r="O54" s="139"/>
      <c r="P54" s="139"/>
      <c r="Q54" s="28"/>
      <c r="R54" s="16"/>
      <c r="S54" s="16"/>
      <c r="T54" s="16"/>
      <c r="U54" s="16"/>
      <c r="V54" s="16"/>
      <c r="W54" s="65"/>
      <c r="X54" s="16"/>
      <c r="Y54" s="16"/>
      <c r="Z54" s="16"/>
      <c r="AA54" s="16"/>
      <c r="AB54" s="3"/>
      <c r="AC54" s="16"/>
      <c r="AD54" s="16"/>
      <c r="AE54" s="16"/>
      <c r="AF54" s="16"/>
      <c r="AG54" s="16"/>
      <c r="AH54" s="16"/>
      <c r="AI54" s="65"/>
      <c r="AJ54" s="16"/>
      <c r="AK54" s="16"/>
      <c r="AL54" s="16"/>
      <c r="AM54" s="16"/>
      <c r="AN54" s="16"/>
      <c r="AO54" s="28"/>
      <c r="AP54" s="16"/>
      <c r="AQ54" s="16"/>
      <c r="AR54" s="16"/>
      <c r="AS54" s="16"/>
      <c r="AT54" s="16"/>
      <c r="AU54" s="28">
        <f t="shared" si="10"/>
        <v>0</v>
      </c>
      <c r="AV54" s="22">
        <f t="shared" si="16"/>
        <v>0</v>
      </c>
      <c r="AW54" s="128">
        <f t="shared" si="11"/>
        <v>0</v>
      </c>
      <c r="AX54" s="242">
        <f t="shared" si="28"/>
        <v>0</v>
      </c>
      <c r="AY54" s="243"/>
      <c r="AZ54" s="235"/>
      <c r="BA54" s="75">
        <f t="shared" si="12"/>
        <v>0</v>
      </c>
      <c r="BB54" s="73">
        <f t="shared" si="17"/>
        <v>0</v>
      </c>
      <c r="BC54" s="129"/>
      <c r="BD54" s="73">
        <f t="shared" si="13"/>
        <v>0</v>
      </c>
      <c r="BE54" s="75"/>
      <c r="BF54" s="93"/>
      <c r="BG54" s="73"/>
      <c r="BH54" s="69"/>
    </row>
    <row r="55" spans="1:60" ht="15" customHeight="1" x14ac:dyDescent="0.35">
      <c r="A55" s="249"/>
      <c r="B55" s="68"/>
      <c r="C55" s="27"/>
      <c r="D55" s="69" t="e">
        <f t="shared" si="18"/>
        <v>#N/A</v>
      </c>
      <c r="E55" s="21">
        <f>SUMIFS('Raw Data Entry'!$G:$G,'Raw Data Entry'!$B:$B,$A55,'Raw Data Entry'!$V:$V,$B55)</f>
        <v>0</v>
      </c>
      <c r="F55" s="345">
        <f t="shared" si="14"/>
        <v>0</v>
      </c>
      <c r="G55" s="348">
        <f t="shared" si="8"/>
        <v>0</v>
      </c>
      <c r="H55" s="22">
        <f>SUMIFS('Raw Data Entry'!$G:$G,'Raw Data Entry'!$B:$B,$A55,'Raw Data Entry'!$V:$V,$B55,'Raw Data Entry'!$A:$A,$B$3)</f>
        <v>0</v>
      </c>
      <c r="I55" s="16">
        <f t="shared" si="9"/>
        <v>0</v>
      </c>
      <c r="J55" s="143">
        <f t="shared" si="15"/>
        <v>0</v>
      </c>
      <c r="K55" s="28"/>
      <c r="L55" s="139"/>
      <c r="M55" s="139"/>
      <c r="N55" s="139"/>
      <c r="O55" s="139"/>
      <c r="P55" s="139"/>
      <c r="Q55" s="28"/>
      <c r="R55" s="16"/>
      <c r="S55" s="16"/>
      <c r="T55" s="16"/>
      <c r="U55" s="16"/>
      <c r="V55" s="16"/>
      <c r="W55" s="65"/>
      <c r="X55" s="16"/>
      <c r="Y55" s="16"/>
      <c r="Z55" s="16"/>
      <c r="AA55" s="16"/>
      <c r="AB55" s="3"/>
      <c r="AC55" s="16"/>
      <c r="AD55" s="16"/>
      <c r="AE55" s="16"/>
      <c r="AF55" s="16"/>
      <c r="AG55" s="16"/>
      <c r="AH55" s="16"/>
      <c r="AI55" s="65"/>
      <c r="AJ55" s="16"/>
      <c r="AK55" s="16"/>
      <c r="AL55" s="16"/>
      <c r="AM55" s="16"/>
      <c r="AN55" s="16"/>
      <c r="AO55" s="28"/>
      <c r="AP55" s="16"/>
      <c r="AQ55" s="16"/>
      <c r="AR55" s="16"/>
      <c r="AS55" s="16"/>
      <c r="AT55" s="16"/>
      <c r="AU55" s="28">
        <f t="shared" si="10"/>
        <v>0</v>
      </c>
      <c r="AV55" s="22">
        <f t="shared" si="16"/>
        <v>0</v>
      </c>
      <c r="AW55" s="128">
        <f t="shared" si="11"/>
        <v>0</v>
      </c>
      <c r="AX55" s="242">
        <f t="shared" si="28"/>
        <v>0</v>
      </c>
      <c r="AY55" s="243"/>
      <c r="AZ55" s="235"/>
      <c r="BA55" s="75">
        <f t="shared" si="12"/>
        <v>0</v>
      </c>
      <c r="BB55" s="73">
        <f t="shared" si="17"/>
        <v>0</v>
      </c>
      <c r="BC55" s="129"/>
      <c r="BD55" s="73">
        <f t="shared" si="13"/>
        <v>0</v>
      </c>
      <c r="BE55" s="75"/>
      <c r="BF55" s="93"/>
      <c r="BG55" s="73"/>
      <c r="BH55" s="69"/>
    </row>
    <row r="56" spans="1:60" ht="15" customHeight="1" x14ac:dyDescent="0.35">
      <c r="A56" s="249"/>
      <c r="B56" s="68"/>
      <c r="C56" s="27"/>
      <c r="D56" s="69" t="e">
        <f t="shared" si="18"/>
        <v>#N/A</v>
      </c>
      <c r="E56" s="21">
        <f>SUMIFS('Raw Data Entry'!$G:$G,'Raw Data Entry'!$B:$B,$A56,'Raw Data Entry'!$V:$V,$B56)</f>
        <v>0</v>
      </c>
      <c r="F56" s="345">
        <f t="shared" si="14"/>
        <v>0</v>
      </c>
      <c r="G56" s="348">
        <f t="shared" si="8"/>
        <v>0</v>
      </c>
      <c r="H56" s="22">
        <f>SUMIFS('Raw Data Entry'!$G:$G,'Raw Data Entry'!$B:$B,$A56,'Raw Data Entry'!$V:$V,$B56,'Raw Data Entry'!$A:$A,$B$3)</f>
        <v>0</v>
      </c>
      <c r="I56" s="16">
        <f t="shared" si="9"/>
        <v>0</v>
      </c>
      <c r="J56" s="143">
        <f t="shared" si="15"/>
        <v>0</v>
      </c>
      <c r="K56" s="28"/>
      <c r="L56" s="139"/>
      <c r="M56" s="139"/>
      <c r="N56" s="139"/>
      <c r="O56" s="139"/>
      <c r="P56" s="139"/>
      <c r="Q56" s="28"/>
      <c r="R56" s="16"/>
      <c r="S56" s="16"/>
      <c r="T56" s="16"/>
      <c r="U56" s="16"/>
      <c r="V56" s="16"/>
      <c r="W56" s="65"/>
      <c r="X56" s="16"/>
      <c r="Y56" s="16"/>
      <c r="Z56" s="16"/>
      <c r="AA56" s="16"/>
      <c r="AB56" s="3"/>
      <c r="AC56" s="16"/>
      <c r="AD56" s="16"/>
      <c r="AE56" s="16"/>
      <c r="AF56" s="16"/>
      <c r="AG56" s="16"/>
      <c r="AH56" s="16"/>
      <c r="AI56" s="65"/>
      <c r="AJ56" s="16"/>
      <c r="AK56" s="16"/>
      <c r="AL56" s="16"/>
      <c r="AM56" s="16"/>
      <c r="AN56" s="16"/>
      <c r="AO56" s="28"/>
      <c r="AP56" s="16"/>
      <c r="AQ56" s="16"/>
      <c r="AR56" s="16"/>
      <c r="AS56" s="16"/>
      <c r="AT56" s="16"/>
      <c r="AU56" s="28">
        <f t="shared" si="10"/>
        <v>0</v>
      </c>
      <c r="AV56" s="22">
        <f t="shared" si="16"/>
        <v>0</v>
      </c>
      <c r="AW56" s="128">
        <f t="shared" si="11"/>
        <v>0</v>
      </c>
      <c r="AX56" s="242">
        <f t="shared" si="28"/>
        <v>0</v>
      </c>
      <c r="AY56" s="243"/>
      <c r="AZ56" s="235"/>
      <c r="BA56" s="75">
        <f t="shared" si="12"/>
        <v>0</v>
      </c>
      <c r="BB56" s="73">
        <f t="shared" si="17"/>
        <v>0</v>
      </c>
      <c r="BC56" s="129"/>
      <c r="BD56" s="73">
        <f t="shared" si="13"/>
        <v>0</v>
      </c>
      <c r="BE56" s="75"/>
      <c r="BF56" s="93"/>
      <c r="BG56" s="73"/>
      <c r="BH56" s="69"/>
    </row>
    <row r="57" spans="1:60" ht="15" customHeight="1" x14ac:dyDescent="0.35">
      <c r="A57" s="249"/>
      <c r="B57" s="68"/>
      <c r="C57" s="27"/>
      <c r="D57" s="69" t="e">
        <f t="shared" si="18"/>
        <v>#N/A</v>
      </c>
      <c r="E57" s="21">
        <f>SUMIFS('Raw Data Entry'!$G:$G,'Raw Data Entry'!$B:$B,$A57,'Raw Data Entry'!$V:$V,$B57)</f>
        <v>0</v>
      </c>
      <c r="F57" s="345">
        <f t="shared" si="14"/>
        <v>0</v>
      </c>
      <c r="G57" s="348">
        <f t="shared" si="8"/>
        <v>0</v>
      </c>
      <c r="H57" s="22">
        <f>SUMIFS('Raw Data Entry'!$G:$G,'Raw Data Entry'!$B:$B,$A57,'Raw Data Entry'!$V:$V,$B57,'Raw Data Entry'!$A:$A,$B$3)</f>
        <v>0</v>
      </c>
      <c r="I57" s="16">
        <f t="shared" si="9"/>
        <v>0</v>
      </c>
      <c r="J57" s="143">
        <f t="shared" si="15"/>
        <v>0</v>
      </c>
      <c r="K57" s="28"/>
      <c r="L57" s="139"/>
      <c r="M57" s="139"/>
      <c r="N57" s="139"/>
      <c r="O57" s="139"/>
      <c r="P57" s="139"/>
      <c r="Q57" s="28"/>
      <c r="R57" s="16"/>
      <c r="S57" s="16"/>
      <c r="T57" s="16"/>
      <c r="U57" s="16"/>
      <c r="V57" s="16"/>
      <c r="W57" s="65"/>
      <c r="X57" s="16"/>
      <c r="Y57" s="16"/>
      <c r="Z57" s="16"/>
      <c r="AA57" s="16"/>
      <c r="AB57" s="3"/>
      <c r="AC57" s="16"/>
      <c r="AD57" s="16"/>
      <c r="AE57" s="16"/>
      <c r="AF57" s="16"/>
      <c r="AG57" s="16"/>
      <c r="AH57" s="16"/>
      <c r="AI57" s="65"/>
      <c r="AJ57" s="16"/>
      <c r="AK57" s="16"/>
      <c r="AL57" s="16"/>
      <c r="AM57" s="16"/>
      <c r="AN57" s="16"/>
      <c r="AO57" s="28"/>
      <c r="AP57" s="16"/>
      <c r="AQ57" s="16"/>
      <c r="AR57" s="16"/>
      <c r="AS57" s="16"/>
      <c r="AT57" s="16"/>
      <c r="AU57" s="28">
        <f t="shared" si="10"/>
        <v>0</v>
      </c>
      <c r="AV57" s="22">
        <f t="shared" si="16"/>
        <v>0</v>
      </c>
      <c r="AW57" s="128">
        <f t="shared" si="11"/>
        <v>0</v>
      </c>
      <c r="AX57" s="242">
        <f t="shared" si="28"/>
        <v>0</v>
      </c>
      <c r="AY57" s="243"/>
      <c r="AZ57" s="235"/>
      <c r="BA57" s="75">
        <f t="shared" si="12"/>
        <v>0</v>
      </c>
      <c r="BB57" s="73">
        <f t="shared" si="17"/>
        <v>0</v>
      </c>
      <c r="BC57" s="129"/>
      <c r="BD57" s="73">
        <f t="shared" si="13"/>
        <v>0</v>
      </c>
      <c r="BE57" s="75"/>
      <c r="BF57" s="93"/>
      <c r="BG57" s="73"/>
      <c r="BH57" s="69"/>
    </row>
    <row r="58" spans="1:60" ht="15" customHeight="1" x14ac:dyDescent="0.35">
      <c r="A58" s="249"/>
      <c r="B58" s="68"/>
      <c r="C58" s="27"/>
      <c r="D58" s="69" t="e">
        <f t="shared" si="18"/>
        <v>#N/A</v>
      </c>
      <c r="E58" s="21">
        <f>SUMIFS('Raw Data Entry'!$G:$G,'Raw Data Entry'!$B:$B,$A58,'Raw Data Entry'!$V:$V,$B58)</f>
        <v>0</v>
      </c>
      <c r="F58" s="345">
        <f t="shared" si="14"/>
        <v>0</v>
      </c>
      <c r="G58" s="348">
        <f t="shared" si="8"/>
        <v>0</v>
      </c>
      <c r="H58" s="22">
        <f>SUMIFS('Raw Data Entry'!$G:$G,'Raw Data Entry'!$B:$B,$A58,'Raw Data Entry'!$V:$V,$B58,'Raw Data Entry'!$A:$A,$B$3)</f>
        <v>0</v>
      </c>
      <c r="I58" s="16">
        <f t="shared" si="9"/>
        <v>0</v>
      </c>
      <c r="J58" s="143">
        <f t="shared" si="15"/>
        <v>0</v>
      </c>
      <c r="K58" s="28"/>
      <c r="L58" s="139"/>
      <c r="M58" s="139"/>
      <c r="N58" s="139"/>
      <c r="O58" s="139"/>
      <c r="P58" s="139"/>
      <c r="Q58" s="28"/>
      <c r="R58" s="16"/>
      <c r="S58" s="16"/>
      <c r="T58" s="16"/>
      <c r="U58" s="16"/>
      <c r="V58" s="16"/>
      <c r="W58" s="65"/>
      <c r="X58" s="16"/>
      <c r="Y58" s="16"/>
      <c r="Z58" s="16"/>
      <c r="AA58" s="16"/>
      <c r="AB58" s="3"/>
      <c r="AC58" s="16"/>
      <c r="AD58" s="16"/>
      <c r="AE58" s="16"/>
      <c r="AF58" s="16"/>
      <c r="AG58" s="16"/>
      <c r="AH58" s="16"/>
      <c r="AI58" s="65"/>
      <c r="AJ58" s="16"/>
      <c r="AK58" s="16"/>
      <c r="AL58" s="16"/>
      <c r="AM58" s="16"/>
      <c r="AN58" s="16"/>
      <c r="AO58" s="28"/>
      <c r="AP58" s="16"/>
      <c r="AQ58" s="16"/>
      <c r="AR58" s="16"/>
      <c r="AS58" s="16"/>
      <c r="AT58" s="16"/>
      <c r="AU58" s="28">
        <f t="shared" si="10"/>
        <v>0</v>
      </c>
      <c r="AV58" s="22">
        <f t="shared" si="16"/>
        <v>0</v>
      </c>
      <c r="AW58" s="128">
        <f t="shared" si="11"/>
        <v>0</v>
      </c>
      <c r="AX58" s="242">
        <f t="shared" si="28"/>
        <v>0</v>
      </c>
      <c r="AY58" s="243"/>
      <c r="AZ58" s="235"/>
      <c r="BA58" s="75">
        <f t="shared" si="12"/>
        <v>0</v>
      </c>
      <c r="BB58" s="73">
        <f t="shared" si="17"/>
        <v>0</v>
      </c>
      <c r="BC58" s="129"/>
      <c r="BD58" s="73">
        <f t="shared" si="13"/>
        <v>0</v>
      </c>
      <c r="BE58" s="75"/>
      <c r="BF58" s="93"/>
      <c r="BG58" s="73"/>
      <c r="BH58" s="69"/>
    </row>
    <row r="59" spans="1:60" ht="15" customHeight="1" x14ac:dyDescent="0.35">
      <c r="A59" s="249"/>
      <c r="B59" s="68"/>
      <c r="C59" s="27"/>
      <c r="D59" s="69" t="e">
        <f t="shared" si="18"/>
        <v>#N/A</v>
      </c>
      <c r="E59" s="21">
        <f>SUMIFS('Raw Data Entry'!$G:$G,'Raw Data Entry'!$B:$B,$A59,'Raw Data Entry'!$V:$V,$B59)</f>
        <v>0</v>
      </c>
      <c r="F59" s="345">
        <f t="shared" si="14"/>
        <v>0</v>
      </c>
      <c r="G59" s="348">
        <f t="shared" si="8"/>
        <v>0</v>
      </c>
      <c r="H59" s="22">
        <f>SUMIFS('Raw Data Entry'!$G:$G,'Raw Data Entry'!$B:$B,$A59,'Raw Data Entry'!$V:$V,$B59,'Raw Data Entry'!$A:$A,$B$3)</f>
        <v>0</v>
      </c>
      <c r="I59" s="16">
        <f t="shared" si="9"/>
        <v>0</v>
      </c>
      <c r="J59" s="143">
        <f t="shared" si="15"/>
        <v>0</v>
      </c>
      <c r="K59" s="28"/>
      <c r="L59" s="139"/>
      <c r="M59" s="139"/>
      <c r="N59" s="139"/>
      <c r="O59" s="139"/>
      <c r="P59" s="139"/>
      <c r="Q59" s="28"/>
      <c r="R59" s="16"/>
      <c r="S59" s="16"/>
      <c r="T59" s="16"/>
      <c r="U59" s="16"/>
      <c r="V59" s="16"/>
      <c r="W59" s="65"/>
      <c r="X59" s="16"/>
      <c r="Y59" s="16"/>
      <c r="Z59" s="16"/>
      <c r="AA59" s="16"/>
      <c r="AB59" s="3"/>
      <c r="AC59" s="16"/>
      <c r="AD59" s="16"/>
      <c r="AE59" s="16"/>
      <c r="AF59" s="16"/>
      <c r="AG59" s="16"/>
      <c r="AH59" s="16"/>
      <c r="AI59" s="65"/>
      <c r="AJ59" s="16"/>
      <c r="AK59" s="16"/>
      <c r="AL59" s="16"/>
      <c r="AM59" s="16"/>
      <c r="AN59" s="16"/>
      <c r="AO59" s="28"/>
      <c r="AP59" s="16"/>
      <c r="AQ59" s="16"/>
      <c r="AR59" s="16"/>
      <c r="AS59" s="16"/>
      <c r="AT59" s="16"/>
      <c r="AU59" s="28">
        <f t="shared" si="10"/>
        <v>0</v>
      </c>
      <c r="AV59" s="22">
        <f t="shared" si="16"/>
        <v>0</v>
      </c>
      <c r="AW59" s="128">
        <f t="shared" si="11"/>
        <v>0</v>
      </c>
      <c r="AX59" s="242">
        <f t="shared" si="28"/>
        <v>0</v>
      </c>
      <c r="AY59" s="243"/>
      <c r="AZ59" s="235"/>
      <c r="BA59" s="75">
        <f t="shared" si="12"/>
        <v>0</v>
      </c>
      <c r="BB59" s="73">
        <f t="shared" si="17"/>
        <v>0</v>
      </c>
      <c r="BC59" s="129"/>
      <c r="BD59" s="73">
        <f t="shared" si="13"/>
        <v>0</v>
      </c>
      <c r="BE59" s="75"/>
      <c r="BF59" s="93"/>
      <c r="BG59" s="73"/>
      <c r="BH59" s="69"/>
    </row>
    <row r="60" spans="1:60" ht="15" customHeight="1" x14ac:dyDescent="0.35">
      <c r="A60" s="249"/>
      <c r="B60" s="68"/>
      <c r="C60" s="27"/>
      <c r="D60" s="69" t="e">
        <f t="shared" si="18"/>
        <v>#N/A</v>
      </c>
      <c r="E60" s="21">
        <f>SUMIFS('Raw Data Entry'!$G:$G,'Raw Data Entry'!$B:$B,$A60,'Raw Data Entry'!$V:$V,$B60)</f>
        <v>0</v>
      </c>
      <c r="F60" s="345">
        <f t="shared" si="14"/>
        <v>0</v>
      </c>
      <c r="G60" s="348">
        <f t="shared" si="8"/>
        <v>0</v>
      </c>
      <c r="H60" s="22">
        <f>SUMIFS('Raw Data Entry'!$G:$G,'Raw Data Entry'!$B:$B,$A60,'Raw Data Entry'!$V:$V,$B60,'Raw Data Entry'!$A:$A,$B$3)</f>
        <v>0</v>
      </c>
      <c r="I60" s="16">
        <f t="shared" si="9"/>
        <v>0</v>
      </c>
      <c r="J60" s="143">
        <f t="shared" si="15"/>
        <v>0</v>
      </c>
      <c r="K60" s="28"/>
      <c r="L60" s="139"/>
      <c r="M60" s="139"/>
      <c r="N60" s="139"/>
      <c r="O60" s="139"/>
      <c r="P60" s="139"/>
      <c r="Q60" s="28"/>
      <c r="R60" s="16"/>
      <c r="S60" s="16"/>
      <c r="T60" s="16"/>
      <c r="U60" s="16"/>
      <c r="V60" s="16"/>
      <c r="W60" s="65"/>
      <c r="X60" s="16"/>
      <c r="Y60" s="16"/>
      <c r="Z60" s="16"/>
      <c r="AA60" s="16"/>
      <c r="AB60" s="3"/>
      <c r="AC60" s="16"/>
      <c r="AD60" s="16"/>
      <c r="AE60" s="16"/>
      <c r="AF60" s="16"/>
      <c r="AG60" s="16"/>
      <c r="AH60" s="16"/>
      <c r="AI60" s="65"/>
      <c r="AJ60" s="16"/>
      <c r="AK60" s="16"/>
      <c r="AL60" s="16"/>
      <c r="AM60" s="16"/>
      <c r="AN60" s="16"/>
      <c r="AO60" s="28"/>
      <c r="AP60" s="16"/>
      <c r="AQ60" s="16"/>
      <c r="AR60" s="16"/>
      <c r="AS60" s="16"/>
      <c r="AT60" s="16"/>
      <c r="AU60" s="28">
        <f t="shared" si="10"/>
        <v>0</v>
      </c>
      <c r="AV60" s="22">
        <f t="shared" si="16"/>
        <v>0</v>
      </c>
      <c r="AW60" s="128">
        <f t="shared" si="11"/>
        <v>0</v>
      </c>
      <c r="AX60" s="242">
        <f t="shared" si="28"/>
        <v>0</v>
      </c>
      <c r="AY60" s="243"/>
      <c r="AZ60" s="235"/>
      <c r="BA60" s="75">
        <f t="shared" si="12"/>
        <v>0</v>
      </c>
      <c r="BB60" s="73">
        <f t="shared" si="17"/>
        <v>0</v>
      </c>
      <c r="BC60" s="129"/>
      <c r="BD60" s="73">
        <f t="shared" si="13"/>
        <v>0</v>
      </c>
      <c r="BE60" s="75"/>
      <c r="BF60" s="93"/>
      <c r="BG60" s="73"/>
      <c r="BH60" s="69"/>
    </row>
    <row r="61" spans="1:60" ht="15" customHeight="1" x14ac:dyDescent="0.35">
      <c r="A61" s="249"/>
      <c r="B61" s="68"/>
      <c r="C61" s="27"/>
      <c r="D61" s="69" t="e">
        <f t="shared" si="18"/>
        <v>#N/A</v>
      </c>
      <c r="E61" s="21">
        <f>SUMIFS('Raw Data Entry'!$G:$G,'Raw Data Entry'!$B:$B,$A61,'Raw Data Entry'!$V:$V,$B61)</f>
        <v>0</v>
      </c>
      <c r="F61" s="345">
        <f t="shared" si="14"/>
        <v>0</v>
      </c>
      <c r="G61" s="348">
        <f t="shared" si="8"/>
        <v>0</v>
      </c>
      <c r="H61" s="22">
        <f>SUMIFS('Raw Data Entry'!$G:$G,'Raw Data Entry'!$B:$B,$A61,'Raw Data Entry'!$V:$V,$B61,'Raw Data Entry'!$A:$A,$B$3)</f>
        <v>0</v>
      </c>
      <c r="I61" s="16">
        <f t="shared" si="9"/>
        <v>0</v>
      </c>
      <c r="J61" s="143">
        <f t="shared" si="15"/>
        <v>0</v>
      </c>
      <c r="K61" s="28"/>
      <c r="L61" s="139"/>
      <c r="M61" s="139"/>
      <c r="N61" s="139"/>
      <c r="O61" s="139"/>
      <c r="P61" s="139"/>
      <c r="Q61" s="28"/>
      <c r="R61" s="16"/>
      <c r="S61" s="16"/>
      <c r="T61" s="16"/>
      <c r="U61" s="16"/>
      <c r="V61" s="16"/>
      <c r="W61" s="65"/>
      <c r="X61" s="16"/>
      <c r="Y61" s="16"/>
      <c r="Z61" s="16"/>
      <c r="AA61" s="16"/>
      <c r="AB61" s="3"/>
      <c r="AC61" s="16"/>
      <c r="AD61" s="16"/>
      <c r="AE61" s="16"/>
      <c r="AF61" s="16"/>
      <c r="AG61" s="16"/>
      <c r="AH61" s="16"/>
      <c r="AI61" s="65"/>
      <c r="AJ61" s="16"/>
      <c r="AK61" s="16"/>
      <c r="AL61" s="16"/>
      <c r="AM61" s="16"/>
      <c r="AN61" s="16"/>
      <c r="AO61" s="28"/>
      <c r="AP61" s="16"/>
      <c r="AQ61" s="16"/>
      <c r="AR61" s="16"/>
      <c r="AS61" s="16"/>
      <c r="AT61" s="16"/>
      <c r="AU61" s="28">
        <f t="shared" si="10"/>
        <v>0</v>
      </c>
      <c r="AV61" s="22">
        <f t="shared" si="16"/>
        <v>0</v>
      </c>
      <c r="AW61" s="128">
        <f t="shared" si="11"/>
        <v>0</v>
      </c>
      <c r="AX61" s="242">
        <f>M61</f>
        <v>0</v>
      </c>
      <c r="AY61" s="243"/>
      <c r="AZ61" s="235"/>
      <c r="BA61" s="75">
        <f t="shared" si="12"/>
        <v>0</v>
      </c>
      <c r="BB61" s="73">
        <f t="shared" si="17"/>
        <v>0</v>
      </c>
      <c r="BC61" s="129"/>
      <c r="BD61" s="73">
        <f t="shared" si="13"/>
        <v>0</v>
      </c>
      <c r="BE61" s="75"/>
      <c r="BF61" s="93"/>
      <c r="BG61" s="73"/>
      <c r="BH61" s="69"/>
    </row>
    <row r="62" spans="1:60" ht="15" customHeight="1" x14ac:dyDescent="0.35">
      <c r="A62" s="249"/>
      <c r="B62" s="68"/>
      <c r="C62" s="27"/>
      <c r="D62" s="69" t="e">
        <f t="shared" si="18"/>
        <v>#N/A</v>
      </c>
      <c r="E62" s="21">
        <f>SUMIFS('Raw Data Entry'!$G:$G,'Raw Data Entry'!$B:$B,$A62,'Raw Data Entry'!$V:$V,$B62)</f>
        <v>0</v>
      </c>
      <c r="F62" s="345">
        <f t="shared" si="14"/>
        <v>0</v>
      </c>
      <c r="G62" s="348">
        <f t="shared" si="8"/>
        <v>0</v>
      </c>
      <c r="H62" s="22">
        <f>SUMIFS('Raw Data Entry'!$G:$G,'Raw Data Entry'!$B:$B,$A62,'Raw Data Entry'!$V:$V,$B62,'Raw Data Entry'!$A:$A,$B$3)</f>
        <v>0</v>
      </c>
      <c r="I62" s="16">
        <f t="shared" si="9"/>
        <v>0</v>
      </c>
      <c r="J62" s="143">
        <f t="shared" si="15"/>
        <v>0</v>
      </c>
      <c r="K62" s="28"/>
      <c r="L62" s="139"/>
      <c r="M62" s="139"/>
      <c r="N62" s="139"/>
      <c r="O62" s="139"/>
      <c r="P62" s="139"/>
      <c r="Q62" s="28"/>
      <c r="R62" s="16"/>
      <c r="S62" s="16"/>
      <c r="T62" s="16"/>
      <c r="U62" s="16"/>
      <c r="V62" s="16"/>
      <c r="W62" s="65"/>
      <c r="X62" s="16"/>
      <c r="Y62" s="16"/>
      <c r="Z62" s="16"/>
      <c r="AA62" s="16"/>
      <c r="AB62" s="3"/>
      <c r="AC62" s="16"/>
      <c r="AD62" s="16"/>
      <c r="AE62" s="16"/>
      <c r="AF62" s="16"/>
      <c r="AG62" s="16"/>
      <c r="AH62" s="16"/>
      <c r="AI62" s="65"/>
      <c r="AJ62" s="16"/>
      <c r="AK62" s="16"/>
      <c r="AL62" s="16"/>
      <c r="AM62" s="16"/>
      <c r="AN62" s="16"/>
      <c r="AO62" s="28"/>
      <c r="AP62" s="16"/>
      <c r="AQ62" s="16"/>
      <c r="AR62" s="16"/>
      <c r="AS62" s="16"/>
      <c r="AT62" s="16"/>
      <c r="AU62" s="28">
        <f t="shared" si="10"/>
        <v>0</v>
      </c>
      <c r="AV62" s="22">
        <f t="shared" si="16"/>
        <v>0</v>
      </c>
      <c r="AW62" s="128">
        <f t="shared" si="11"/>
        <v>0</v>
      </c>
      <c r="AX62" s="242">
        <f t="shared" si="28"/>
        <v>0</v>
      </c>
      <c r="AY62" s="243"/>
      <c r="AZ62" s="235"/>
      <c r="BA62" s="75">
        <f t="shared" si="12"/>
        <v>0</v>
      </c>
      <c r="BB62" s="73">
        <f t="shared" si="17"/>
        <v>0</v>
      </c>
      <c r="BC62" s="129"/>
      <c r="BD62" s="73">
        <f t="shared" si="13"/>
        <v>0</v>
      </c>
      <c r="BE62" s="75"/>
      <c r="BF62" s="93"/>
      <c r="BG62" s="73"/>
      <c r="BH62" s="69"/>
    </row>
    <row r="63" spans="1:60" ht="15" customHeight="1" x14ac:dyDescent="0.35">
      <c r="A63" s="249"/>
      <c r="B63" s="68"/>
      <c r="C63" s="27"/>
      <c r="D63" s="69" t="e">
        <f t="shared" si="18"/>
        <v>#N/A</v>
      </c>
      <c r="E63" s="21">
        <f>SUMIFS('Raw Data Entry'!$G:$G,'Raw Data Entry'!$B:$B,$A63,'Raw Data Entry'!$V:$V,$B63)</f>
        <v>0</v>
      </c>
      <c r="F63" s="345">
        <f t="shared" si="14"/>
        <v>0</v>
      </c>
      <c r="G63" s="348">
        <f t="shared" si="8"/>
        <v>0</v>
      </c>
      <c r="H63" s="22">
        <f>SUMIFS('Raw Data Entry'!$G:$G,'Raw Data Entry'!$B:$B,$A63,'Raw Data Entry'!$V:$V,$B63,'Raw Data Entry'!$A:$A,$B$3)</f>
        <v>0</v>
      </c>
      <c r="I63" s="16">
        <f t="shared" si="9"/>
        <v>0</v>
      </c>
      <c r="J63" s="143">
        <f t="shared" si="15"/>
        <v>0</v>
      </c>
      <c r="K63" s="28"/>
      <c r="L63" s="139"/>
      <c r="M63" s="139"/>
      <c r="N63" s="139"/>
      <c r="O63" s="139"/>
      <c r="P63" s="139"/>
      <c r="Q63" s="28"/>
      <c r="R63" s="16"/>
      <c r="S63" s="16"/>
      <c r="T63" s="16"/>
      <c r="U63" s="16"/>
      <c r="V63" s="16"/>
      <c r="W63" s="65"/>
      <c r="X63" s="16"/>
      <c r="Y63" s="16"/>
      <c r="Z63" s="16"/>
      <c r="AA63" s="16"/>
      <c r="AB63" s="3"/>
      <c r="AC63" s="16"/>
      <c r="AD63" s="16"/>
      <c r="AE63" s="16"/>
      <c r="AF63" s="16"/>
      <c r="AG63" s="16"/>
      <c r="AH63" s="16"/>
      <c r="AI63" s="65"/>
      <c r="AJ63" s="16"/>
      <c r="AK63" s="16"/>
      <c r="AL63" s="16"/>
      <c r="AM63" s="16"/>
      <c r="AN63" s="16"/>
      <c r="AO63" s="28"/>
      <c r="AP63" s="16"/>
      <c r="AQ63" s="16"/>
      <c r="AR63" s="16"/>
      <c r="AS63" s="16"/>
      <c r="AT63" s="16"/>
      <c r="AU63" s="28">
        <f t="shared" si="10"/>
        <v>0</v>
      </c>
      <c r="AV63" s="22">
        <f t="shared" si="16"/>
        <v>0</v>
      </c>
      <c r="AW63" s="128">
        <f t="shared" si="11"/>
        <v>0</v>
      </c>
      <c r="AX63" s="242">
        <f t="shared" si="28"/>
        <v>0</v>
      </c>
      <c r="AY63" s="243"/>
      <c r="AZ63" s="235"/>
      <c r="BA63" s="75">
        <f t="shared" si="12"/>
        <v>0</v>
      </c>
      <c r="BB63" s="73">
        <f t="shared" si="17"/>
        <v>0</v>
      </c>
      <c r="BC63" s="129"/>
      <c r="BD63" s="73">
        <f t="shared" si="13"/>
        <v>0</v>
      </c>
      <c r="BE63" s="75"/>
      <c r="BF63" s="93"/>
      <c r="BG63" s="73"/>
      <c r="BH63" s="69"/>
    </row>
    <row r="64" spans="1:60" ht="15" customHeight="1" x14ac:dyDescent="0.35">
      <c r="A64" s="249"/>
      <c r="B64" s="68"/>
      <c r="C64" s="27"/>
      <c r="D64" s="69" t="e">
        <f t="shared" ref="D64:D71" si="29">MATCH(A64,_xlfn.UNIQUE($A$13:$A$75),0)</f>
        <v>#N/A</v>
      </c>
      <c r="E64" s="21">
        <f>SUMIFS('Raw Data Entry'!$G:$G,'Raw Data Entry'!$B:$B,$A64,'Raw Data Entry'!$V:$V,$B64)</f>
        <v>0</v>
      </c>
      <c r="F64" s="345">
        <f t="shared" ref="F64:F71" si="30">BD64</f>
        <v>0</v>
      </c>
      <c r="G64" s="348">
        <f t="shared" ref="G64:G71" si="31">BA64</f>
        <v>0</v>
      </c>
      <c r="H64" s="22">
        <f>SUMIFS('Raw Data Entry'!$G:$G,'Raw Data Entry'!$B:$B,$A64,'Raw Data Entry'!$V:$V,$B64,'Raw Data Entry'!$A:$A,$B$3)</f>
        <v>0</v>
      </c>
      <c r="I64" s="16">
        <f t="shared" ref="I64:I71" si="32">AZ64</f>
        <v>0</v>
      </c>
      <c r="J64" s="143">
        <f t="shared" ref="J64:J71" si="33">BB64</f>
        <v>0</v>
      </c>
      <c r="K64" s="28"/>
      <c r="L64" s="139"/>
      <c r="M64" s="139"/>
      <c r="N64" s="139"/>
      <c r="O64" s="139"/>
      <c r="P64" s="139"/>
      <c r="Q64" s="28"/>
      <c r="R64" s="16"/>
      <c r="S64" s="16"/>
      <c r="T64" s="16"/>
      <c r="U64" s="16"/>
      <c r="V64" s="16"/>
      <c r="W64" s="65"/>
      <c r="X64" s="16"/>
      <c r="Y64" s="16"/>
      <c r="Z64" s="16"/>
      <c r="AA64" s="16"/>
      <c r="AB64" s="3"/>
      <c r="AC64" s="16"/>
      <c r="AD64" s="16"/>
      <c r="AE64" s="16"/>
      <c r="AF64" s="16"/>
      <c r="AG64" s="16"/>
      <c r="AH64" s="16"/>
      <c r="AI64" s="65"/>
      <c r="AJ64" s="16"/>
      <c r="AK64" s="16"/>
      <c r="AL64" s="16"/>
      <c r="AM64" s="16"/>
      <c r="AN64" s="16"/>
      <c r="AO64" s="28"/>
      <c r="AP64" s="16"/>
      <c r="AQ64" s="16"/>
      <c r="AR64" s="16"/>
      <c r="AS64" s="16"/>
      <c r="AT64" s="16"/>
      <c r="AU64" s="28">
        <f t="shared" ref="AU64:AU71" si="34">SUM(K64:AT64)</f>
        <v>0</v>
      </c>
      <c r="AV64" s="22">
        <f t="shared" ref="AV64:AV71" si="35">E64</f>
        <v>0</v>
      </c>
      <c r="AW64" s="128">
        <f t="shared" ref="AW64:AW71" si="36">SUM(AU64:AV64)</f>
        <v>0</v>
      </c>
      <c r="AX64" s="242">
        <f t="shared" ref="AX64:AX71" si="37">L64</f>
        <v>0</v>
      </c>
      <c r="AY64" s="243"/>
      <c r="AZ64" s="235"/>
      <c r="BA64" s="75">
        <f t="shared" ref="BA64:BA71" si="38">AY64-AW64</f>
        <v>0</v>
      </c>
      <c r="BB64" s="73">
        <f t="shared" ref="BB64:BB71" si="39">AZ64-H64</f>
        <v>0</v>
      </c>
      <c r="BC64" s="129"/>
      <c r="BD64" s="73">
        <f t="shared" ref="BD64:BD71" si="40">BC64-AW64</f>
        <v>0</v>
      </c>
      <c r="BE64" s="75"/>
      <c r="BF64" s="93"/>
      <c r="BG64" s="73"/>
      <c r="BH64" s="69"/>
    </row>
    <row r="65" spans="1:71" ht="15" customHeight="1" x14ac:dyDescent="0.35">
      <c r="A65" s="249"/>
      <c r="B65" s="68"/>
      <c r="C65" s="27"/>
      <c r="D65" s="69" t="e">
        <f t="shared" si="29"/>
        <v>#N/A</v>
      </c>
      <c r="E65" s="21">
        <f>SUMIFS('Raw Data Entry'!$G:$G,'Raw Data Entry'!$B:$B,$A65,'Raw Data Entry'!$V:$V,$B65)</f>
        <v>0</v>
      </c>
      <c r="F65" s="345">
        <f t="shared" si="30"/>
        <v>0</v>
      </c>
      <c r="G65" s="348">
        <f t="shared" si="31"/>
        <v>0</v>
      </c>
      <c r="H65" s="22">
        <f>SUMIFS('Raw Data Entry'!$G:$G,'Raw Data Entry'!$B:$B,$A65,'Raw Data Entry'!$V:$V,$B65,'Raw Data Entry'!$A:$A,$B$3)</f>
        <v>0</v>
      </c>
      <c r="I65" s="16">
        <f t="shared" si="32"/>
        <v>0</v>
      </c>
      <c r="J65" s="143">
        <f t="shared" si="33"/>
        <v>0</v>
      </c>
      <c r="K65" s="28"/>
      <c r="L65" s="139"/>
      <c r="M65" s="139"/>
      <c r="N65" s="139"/>
      <c r="O65" s="139"/>
      <c r="P65" s="139"/>
      <c r="Q65" s="28"/>
      <c r="R65" s="16"/>
      <c r="S65" s="16"/>
      <c r="T65" s="16"/>
      <c r="U65" s="16"/>
      <c r="V65" s="16"/>
      <c r="W65" s="65"/>
      <c r="X65" s="16"/>
      <c r="Y65" s="16"/>
      <c r="Z65" s="16"/>
      <c r="AA65" s="16"/>
      <c r="AB65" s="3"/>
      <c r="AC65" s="16"/>
      <c r="AD65" s="16"/>
      <c r="AE65" s="16"/>
      <c r="AF65" s="16"/>
      <c r="AG65" s="16"/>
      <c r="AH65" s="16"/>
      <c r="AI65" s="65"/>
      <c r="AJ65" s="16"/>
      <c r="AK65" s="16"/>
      <c r="AL65" s="16"/>
      <c r="AM65" s="16"/>
      <c r="AN65" s="16"/>
      <c r="AO65" s="28"/>
      <c r="AP65" s="16"/>
      <c r="AQ65" s="16"/>
      <c r="AR65" s="16"/>
      <c r="AS65" s="16"/>
      <c r="AT65" s="16"/>
      <c r="AU65" s="28">
        <f t="shared" si="34"/>
        <v>0</v>
      </c>
      <c r="AV65" s="22">
        <f t="shared" si="35"/>
        <v>0</v>
      </c>
      <c r="AW65" s="128">
        <f t="shared" si="36"/>
        <v>0</v>
      </c>
      <c r="AX65" s="242">
        <f t="shared" si="37"/>
        <v>0</v>
      </c>
      <c r="AY65" s="243"/>
      <c r="AZ65" s="235"/>
      <c r="BA65" s="75">
        <f t="shared" si="38"/>
        <v>0</v>
      </c>
      <c r="BB65" s="73">
        <f t="shared" si="39"/>
        <v>0</v>
      </c>
      <c r="BC65" s="129"/>
      <c r="BD65" s="73">
        <f t="shared" si="40"/>
        <v>0</v>
      </c>
      <c r="BE65" s="75"/>
      <c r="BF65" s="93"/>
      <c r="BG65" s="73"/>
      <c r="BH65" s="69"/>
    </row>
    <row r="66" spans="1:71" ht="15" customHeight="1" x14ac:dyDescent="0.35">
      <c r="A66" s="249"/>
      <c r="B66" s="68"/>
      <c r="C66" s="27"/>
      <c r="D66" s="69" t="e">
        <f t="shared" si="29"/>
        <v>#N/A</v>
      </c>
      <c r="E66" s="21">
        <f>SUMIFS('Raw Data Entry'!$G:$G,'Raw Data Entry'!$B:$B,$A66,'Raw Data Entry'!$V:$V,$B66)</f>
        <v>0</v>
      </c>
      <c r="F66" s="345">
        <f t="shared" si="30"/>
        <v>0</v>
      </c>
      <c r="G66" s="348">
        <f t="shared" si="31"/>
        <v>0</v>
      </c>
      <c r="H66" s="22">
        <f>SUMIFS('Raw Data Entry'!$G:$G,'Raw Data Entry'!$B:$B,$A66,'Raw Data Entry'!$V:$V,$B66,'Raw Data Entry'!$A:$A,$B$3)</f>
        <v>0</v>
      </c>
      <c r="I66" s="16">
        <f t="shared" si="32"/>
        <v>0</v>
      </c>
      <c r="J66" s="143">
        <f t="shared" si="33"/>
        <v>0</v>
      </c>
      <c r="K66" s="28"/>
      <c r="L66" s="139"/>
      <c r="M66" s="139"/>
      <c r="N66" s="139"/>
      <c r="O66" s="139"/>
      <c r="P66" s="139"/>
      <c r="Q66" s="28"/>
      <c r="R66" s="16"/>
      <c r="S66" s="16"/>
      <c r="T66" s="16"/>
      <c r="U66" s="16"/>
      <c r="V66" s="16"/>
      <c r="W66" s="65"/>
      <c r="X66" s="16"/>
      <c r="Y66" s="16"/>
      <c r="Z66" s="16"/>
      <c r="AA66" s="16"/>
      <c r="AB66" s="3"/>
      <c r="AC66" s="16"/>
      <c r="AD66" s="16"/>
      <c r="AE66" s="16"/>
      <c r="AF66" s="16"/>
      <c r="AG66" s="16"/>
      <c r="AH66" s="16"/>
      <c r="AI66" s="65"/>
      <c r="AJ66" s="16"/>
      <c r="AK66" s="16"/>
      <c r="AL66" s="16"/>
      <c r="AM66" s="16"/>
      <c r="AN66" s="16"/>
      <c r="AO66" s="28"/>
      <c r="AP66" s="16"/>
      <c r="AQ66" s="16"/>
      <c r="AR66" s="16"/>
      <c r="AS66" s="16"/>
      <c r="AT66" s="16"/>
      <c r="AU66" s="28">
        <f t="shared" si="34"/>
        <v>0</v>
      </c>
      <c r="AV66" s="22">
        <f t="shared" si="35"/>
        <v>0</v>
      </c>
      <c r="AW66" s="128">
        <f t="shared" si="36"/>
        <v>0</v>
      </c>
      <c r="AX66" s="242">
        <f t="shared" si="37"/>
        <v>0</v>
      </c>
      <c r="AY66" s="243"/>
      <c r="AZ66" s="235"/>
      <c r="BA66" s="75">
        <f t="shared" si="38"/>
        <v>0</v>
      </c>
      <c r="BB66" s="73">
        <f t="shared" si="39"/>
        <v>0</v>
      </c>
      <c r="BC66" s="129"/>
      <c r="BD66" s="73">
        <f t="shared" si="40"/>
        <v>0</v>
      </c>
      <c r="BE66" s="75"/>
      <c r="BF66" s="93"/>
      <c r="BG66" s="73"/>
      <c r="BH66" s="69"/>
    </row>
    <row r="67" spans="1:71" ht="15" customHeight="1" x14ac:dyDescent="0.35">
      <c r="A67" s="249"/>
      <c r="B67" s="68"/>
      <c r="C67" s="27"/>
      <c r="D67" s="69" t="e">
        <f t="shared" si="29"/>
        <v>#N/A</v>
      </c>
      <c r="E67" s="21">
        <f>SUMIFS('Raw Data Entry'!$G:$G,'Raw Data Entry'!$B:$B,$A67,'Raw Data Entry'!$V:$V,$B67)</f>
        <v>0</v>
      </c>
      <c r="F67" s="345">
        <f t="shared" si="30"/>
        <v>0</v>
      </c>
      <c r="G67" s="348">
        <f t="shared" si="31"/>
        <v>0</v>
      </c>
      <c r="H67" s="22">
        <f>SUMIFS('Raw Data Entry'!$G:$G,'Raw Data Entry'!$B:$B,$A67,'Raw Data Entry'!$V:$V,$B67,'Raw Data Entry'!$A:$A,$B$3)</f>
        <v>0</v>
      </c>
      <c r="I67" s="16">
        <f t="shared" si="32"/>
        <v>0</v>
      </c>
      <c r="J67" s="143">
        <f t="shared" si="33"/>
        <v>0</v>
      </c>
      <c r="K67" s="28"/>
      <c r="L67" s="139"/>
      <c r="M67" s="139"/>
      <c r="N67" s="139"/>
      <c r="O67" s="139"/>
      <c r="P67" s="139"/>
      <c r="Q67" s="28"/>
      <c r="R67" s="16"/>
      <c r="S67" s="16"/>
      <c r="T67" s="16"/>
      <c r="U67" s="16"/>
      <c r="V67" s="16"/>
      <c r="W67" s="65"/>
      <c r="X67" s="16"/>
      <c r="Y67" s="16"/>
      <c r="Z67" s="16"/>
      <c r="AA67" s="16"/>
      <c r="AB67" s="3"/>
      <c r="AC67" s="16"/>
      <c r="AD67" s="16"/>
      <c r="AE67" s="16"/>
      <c r="AF67" s="16"/>
      <c r="AG67" s="16"/>
      <c r="AH67" s="16"/>
      <c r="AI67" s="65"/>
      <c r="AJ67" s="16"/>
      <c r="AK67" s="16"/>
      <c r="AL67" s="16"/>
      <c r="AM67" s="16"/>
      <c r="AN67" s="16"/>
      <c r="AO67" s="28"/>
      <c r="AP67" s="16"/>
      <c r="AQ67" s="16"/>
      <c r="AR67" s="16"/>
      <c r="AS67" s="16"/>
      <c r="AT67" s="16"/>
      <c r="AU67" s="28">
        <f t="shared" si="34"/>
        <v>0</v>
      </c>
      <c r="AV67" s="22">
        <f t="shared" si="35"/>
        <v>0</v>
      </c>
      <c r="AW67" s="128">
        <f t="shared" si="36"/>
        <v>0</v>
      </c>
      <c r="AX67" s="242">
        <f t="shared" si="37"/>
        <v>0</v>
      </c>
      <c r="AY67" s="243"/>
      <c r="AZ67" s="235"/>
      <c r="BA67" s="75">
        <f t="shared" si="38"/>
        <v>0</v>
      </c>
      <c r="BB67" s="73">
        <f t="shared" si="39"/>
        <v>0</v>
      </c>
      <c r="BC67" s="129"/>
      <c r="BD67" s="73">
        <f t="shared" si="40"/>
        <v>0</v>
      </c>
      <c r="BE67" s="75"/>
      <c r="BF67" s="93"/>
      <c r="BG67" s="73"/>
      <c r="BH67" s="69"/>
    </row>
    <row r="68" spans="1:71" ht="15" customHeight="1" x14ac:dyDescent="0.35">
      <c r="A68" s="249"/>
      <c r="B68" s="68"/>
      <c r="C68" s="27"/>
      <c r="D68" s="69" t="e">
        <f t="shared" si="29"/>
        <v>#N/A</v>
      </c>
      <c r="E68" s="21">
        <f>SUMIFS('Raw Data Entry'!$G:$G,'Raw Data Entry'!$B:$B,$A68,'Raw Data Entry'!$V:$V,$B68)</f>
        <v>0</v>
      </c>
      <c r="F68" s="345">
        <f t="shared" si="30"/>
        <v>0</v>
      </c>
      <c r="G68" s="348">
        <f t="shared" si="31"/>
        <v>0</v>
      </c>
      <c r="H68" s="22">
        <f>SUMIFS('Raw Data Entry'!$G:$G,'Raw Data Entry'!$B:$B,$A68,'Raw Data Entry'!$V:$V,$B68,'Raw Data Entry'!$A:$A,$B$3)</f>
        <v>0</v>
      </c>
      <c r="I68" s="16">
        <f t="shared" si="32"/>
        <v>0</v>
      </c>
      <c r="J68" s="143">
        <f t="shared" si="33"/>
        <v>0</v>
      </c>
      <c r="K68" s="28"/>
      <c r="L68" s="139"/>
      <c r="M68" s="139"/>
      <c r="N68" s="139"/>
      <c r="O68" s="139"/>
      <c r="P68" s="139"/>
      <c r="Q68" s="28"/>
      <c r="R68" s="16"/>
      <c r="S68" s="16"/>
      <c r="T68" s="16"/>
      <c r="U68" s="16"/>
      <c r="V68" s="16"/>
      <c r="W68" s="65"/>
      <c r="X68" s="16"/>
      <c r="Y68" s="16"/>
      <c r="Z68" s="16"/>
      <c r="AA68" s="16"/>
      <c r="AB68" s="3"/>
      <c r="AC68" s="16"/>
      <c r="AD68" s="16"/>
      <c r="AE68" s="16"/>
      <c r="AF68" s="16"/>
      <c r="AG68" s="16"/>
      <c r="AH68" s="16"/>
      <c r="AI68" s="65"/>
      <c r="AJ68" s="16"/>
      <c r="AK68" s="16"/>
      <c r="AL68" s="16"/>
      <c r="AM68" s="16"/>
      <c r="AN68" s="16"/>
      <c r="AO68" s="28"/>
      <c r="AP68" s="16"/>
      <c r="AQ68" s="16"/>
      <c r="AR68" s="16"/>
      <c r="AS68" s="16"/>
      <c r="AT68" s="16"/>
      <c r="AU68" s="28">
        <f t="shared" si="34"/>
        <v>0</v>
      </c>
      <c r="AV68" s="22">
        <f t="shared" si="35"/>
        <v>0</v>
      </c>
      <c r="AW68" s="128">
        <f t="shared" si="36"/>
        <v>0</v>
      </c>
      <c r="AX68" s="242">
        <f t="shared" si="37"/>
        <v>0</v>
      </c>
      <c r="AY68" s="243"/>
      <c r="AZ68" s="235"/>
      <c r="BA68" s="75">
        <f t="shared" si="38"/>
        <v>0</v>
      </c>
      <c r="BB68" s="73">
        <f t="shared" si="39"/>
        <v>0</v>
      </c>
      <c r="BC68" s="129"/>
      <c r="BD68" s="73">
        <f t="shared" si="40"/>
        <v>0</v>
      </c>
      <c r="BE68" s="75"/>
      <c r="BF68" s="93"/>
      <c r="BG68" s="73"/>
      <c r="BH68" s="69"/>
    </row>
    <row r="69" spans="1:71" ht="15" customHeight="1" x14ac:dyDescent="0.35">
      <c r="A69" s="249"/>
      <c r="B69" s="68"/>
      <c r="C69" s="27"/>
      <c r="D69" s="69" t="e">
        <f t="shared" si="29"/>
        <v>#N/A</v>
      </c>
      <c r="E69" s="21">
        <f>SUMIFS('Raw Data Entry'!$G:$G,'Raw Data Entry'!$B:$B,$A69,'Raw Data Entry'!$V:$V,$B69)</f>
        <v>0</v>
      </c>
      <c r="F69" s="345">
        <f t="shared" si="30"/>
        <v>0</v>
      </c>
      <c r="G69" s="348">
        <f t="shared" si="31"/>
        <v>0</v>
      </c>
      <c r="H69" s="22">
        <f>SUMIFS('Raw Data Entry'!$G:$G,'Raw Data Entry'!$B:$B,$A69,'Raw Data Entry'!$V:$V,$B69,'Raw Data Entry'!$A:$A,$B$3)</f>
        <v>0</v>
      </c>
      <c r="I69" s="16">
        <f t="shared" si="32"/>
        <v>0</v>
      </c>
      <c r="J69" s="143">
        <f t="shared" si="33"/>
        <v>0</v>
      </c>
      <c r="K69" s="28"/>
      <c r="L69" s="139"/>
      <c r="M69" s="139"/>
      <c r="N69" s="139"/>
      <c r="O69" s="139"/>
      <c r="P69" s="139"/>
      <c r="Q69" s="28"/>
      <c r="R69" s="16"/>
      <c r="S69" s="16"/>
      <c r="T69" s="16"/>
      <c r="U69" s="16"/>
      <c r="V69" s="16"/>
      <c r="W69" s="65"/>
      <c r="X69" s="16"/>
      <c r="Y69" s="16"/>
      <c r="Z69" s="16"/>
      <c r="AA69" s="16"/>
      <c r="AB69" s="3"/>
      <c r="AC69" s="16"/>
      <c r="AD69" s="16"/>
      <c r="AE69" s="16"/>
      <c r="AF69" s="16"/>
      <c r="AG69" s="16"/>
      <c r="AH69" s="16"/>
      <c r="AI69" s="65"/>
      <c r="AJ69" s="16"/>
      <c r="AK69" s="16"/>
      <c r="AL69" s="16"/>
      <c r="AM69" s="16"/>
      <c r="AN69" s="16"/>
      <c r="AO69" s="28"/>
      <c r="AP69" s="16"/>
      <c r="AQ69" s="16"/>
      <c r="AR69" s="16"/>
      <c r="AS69" s="16"/>
      <c r="AT69" s="16"/>
      <c r="AU69" s="28">
        <f t="shared" si="34"/>
        <v>0</v>
      </c>
      <c r="AV69" s="22">
        <f t="shared" si="35"/>
        <v>0</v>
      </c>
      <c r="AW69" s="128">
        <f t="shared" si="36"/>
        <v>0</v>
      </c>
      <c r="AX69" s="242">
        <f t="shared" si="37"/>
        <v>0</v>
      </c>
      <c r="AY69" s="243"/>
      <c r="AZ69" s="235"/>
      <c r="BA69" s="75">
        <f t="shared" si="38"/>
        <v>0</v>
      </c>
      <c r="BB69" s="73">
        <f t="shared" si="39"/>
        <v>0</v>
      </c>
      <c r="BC69" s="129"/>
      <c r="BD69" s="73">
        <f t="shared" si="40"/>
        <v>0</v>
      </c>
      <c r="BE69" s="75"/>
      <c r="BF69" s="93"/>
      <c r="BG69" s="73"/>
      <c r="BH69" s="69"/>
    </row>
    <row r="70" spans="1:71" ht="15" customHeight="1" x14ac:dyDescent="0.35">
      <c r="A70" s="249"/>
      <c r="B70" s="68"/>
      <c r="C70" s="27"/>
      <c r="D70" s="69" t="e">
        <f t="shared" si="29"/>
        <v>#N/A</v>
      </c>
      <c r="E70" s="21">
        <f>SUMIFS('Raw Data Entry'!$G:$G,'Raw Data Entry'!$B:$B,$A70,'Raw Data Entry'!$V:$V,$B70)</f>
        <v>0</v>
      </c>
      <c r="F70" s="345">
        <f t="shared" si="30"/>
        <v>0</v>
      </c>
      <c r="G70" s="348">
        <f t="shared" si="31"/>
        <v>0</v>
      </c>
      <c r="H70" s="22">
        <f>SUMIFS('Raw Data Entry'!$G:$G,'Raw Data Entry'!$B:$B,$A70,'Raw Data Entry'!$V:$V,$B70,'Raw Data Entry'!$A:$A,$B$3)</f>
        <v>0</v>
      </c>
      <c r="I70" s="16">
        <f t="shared" si="32"/>
        <v>0</v>
      </c>
      <c r="J70" s="143">
        <f t="shared" si="33"/>
        <v>0</v>
      </c>
      <c r="K70" s="28"/>
      <c r="L70" s="139"/>
      <c r="M70" s="139"/>
      <c r="N70" s="139"/>
      <c r="O70" s="139"/>
      <c r="P70" s="139"/>
      <c r="Q70" s="28"/>
      <c r="R70" s="16"/>
      <c r="S70" s="16"/>
      <c r="T70" s="16"/>
      <c r="U70" s="16"/>
      <c r="V70" s="16"/>
      <c r="W70" s="65"/>
      <c r="X70" s="16"/>
      <c r="Y70" s="16"/>
      <c r="Z70" s="16"/>
      <c r="AA70" s="16"/>
      <c r="AB70" s="3"/>
      <c r="AC70" s="16"/>
      <c r="AD70" s="16"/>
      <c r="AE70" s="16"/>
      <c r="AF70" s="16"/>
      <c r="AG70" s="16"/>
      <c r="AH70" s="16"/>
      <c r="AI70" s="65"/>
      <c r="AJ70" s="16"/>
      <c r="AK70" s="16"/>
      <c r="AL70" s="16"/>
      <c r="AM70" s="16"/>
      <c r="AN70" s="16"/>
      <c r="AO70" s="28"/>
      <c r="AP70" s="16"/>
      <c r="AQ70" s="16"/>
      <c r="AR70" s="16"/>
      <c r="AS70" s="16"/>
      <c r="AT70" s="16"/>
      <c r="AU70" s="28">
        <f t="shared" si="34"/>
        <v>0</v>
      </c>
      <c r="AV70" s="22">
        <f t="shared" si="35"/>
        <v>0</v>
      </c>
      <c r="AW70" s="128">
        <f t="shared" si="36"/>
        <v>0</v>
      </c>
      <c r="AX70" s="242">
        <f t="shared" si="37"/>
        <v>0</v>
      </c>
      <c r="AY70" s="243"/>
      <c r="AZ70" s="235"/>
      <c r="BA70" s="75">
        <f t="shared" si="38"/>
        <v>0</v>
      </c>
      <c r="BB70" s="73">
        <f t="shared" si="39"/>
        <v>0</v>
      </c>
      <c r="BC70" s="129"/>
      <c r="BD70" s="73">
        <f t="shared" si="40"/>
        <v>0</v>
      </c>
      <c r="BE70" s="75"/>
      <c r="BF70" s="93"/>
      <c r="BG70" s="73"/>
      <c r="BH70" s="69"/>
    </row>
    <row r="71" spans="1:71" ht="15" customHeight="1" x14ac:dyDescent="0.35">
      <c r="A71" s="249"/>
      <c r="B71" s="68"/>
      <c r="C71" s="27"/>
      <c r="D71" s="69" t="e">
        <f t="shared" si="29"/>
        <v>#N/A</v>
      </c>
      <c r="E71" s="21">
        <f>SUMIFS('Raw Data Entry'!$G:$G,'Raw Data Entry'!$B:$B,$A71,'Raw Data Entry'!$V:$V,$B71)</f>
        <v>0</v>
      </c>
      <c r="F71" s="345">
        <f t="shared" si="30"/>
        <v>0</v>
      </c>
      <c r="G71" s="348">
        <f t="shared" si="31"/>
        <v>0</v>
      </c>
      <c r="H71" s="22">
        <f>SUMIFS('Raw Data Entry'!$G:$G,'Raw Data Entry'!$B:$B,$A71,'Raw Data Entry'!$V:$V,$B71,'Raw Data Entry'!$A:$A,$B$3)</f>
        <v>0</v>
      </c>
      <c r="I71" s="16">
        <f t="shared" si="32"/>
        <v>0</v>
      </c>
      <c r="J71" s="143">
        <f t="shared" si="33"/>
        <v>0</v>
      </c>
      <c r="K71" s="28"/>
      <c r="L71" s="139"/>
      <c r="M71" s="139"/>
      <c r="N71" s="139"/>
      <c r="O71" s="139"/>
      <c r="P71" s="139"/>
      <c r="Q71" s="28"/>
      <c r="R71" s="16"/>
      <c r="S71" s="16"/>
      <c r="T71" s="16"/>
      <c r="U71" s="16"/>
      <c r="V71" s="16"/>
      <c r="W71" s="65"/>
      <c r="X71" s="16"/>
      <c r="Y71" s="16"/>
      <c r="Z71" s="16"/>
      <c r="AA71" s="16"/>
      <c r="AB71" s="3"/>
      <c r="AC71" s="16"/>
      <c r="AD71" s="16"/>
      <c r="AE71" s="16"/>
      <c r="AF71" s="16"/>
      <c r="AG71" s="16"/>
      <c r="AH71" s="16"/>
      <c r="AI71" s="65"/>
      <c r="AJ71" s="16"/>
      <c r="AK71" s="16"/>
      <c r="AL71" s="16"/>
      <c r="AM71" s="16"/>
      <c r="AN71" s="16"/>
      <c r="AO71" s="28"/>
      <c r="AP71" s="16"/>
      <c r="AQ71" s="16"/>
      <c r="AR71" s="16"/>
      <c r="AS71" s="16"/>
      <c r="AT71" s="16"/>
      <c r="AU71" s="28">
        <f t="shared" si="34"/>
        <v>0</v>
      </c>
      <c r="AV71" s="22">
        <f t="shared" si="35"/>
        <v>0</v>
      </c>
      <c r="AW71" s="128">
        <f t="shared" si="36"/>
        <v>0</v>
      </c>
      <c r="AX71" s="242">
        <f t="shared" si="37"/>
        <v>0</v>
      </c>
      <c r="AY71" s="243"/>
      <c r="AZ71" s="235"/>
      <c r="BA71" s="75">
        <f t="shared" si="38"/>
        <v>0</v>
      </c>
      <c r="BB71" s="73">
        <f t="shared" si="39"/>
        <v>0</v>
      </c>
      <c r="BC71" s="129"/>
      <c r="BD71" s="73">
        <f t="shared" si="40"/>
        <v>0</v>
      </c>
      <c r="BE71" s="75"/>
      <c r="BF71" s="93"/>
      <c r="BG71" s="73"/>
      <c r="BH71" s="69"/>
    </row>
    <row r="72" spans="1:71" ht="15" customHeight="1" x14ac:dyDescent="0.35">
      <c r="A72" s="249"/>
      <c r="B72" s="68"/>
      <c r="C72" s="27"/>
      <c r="D72" s="69" t="e">
        <f>MATCH(A72,_xlfn.UNIQUE($A$13:$A$75),0)</f>
        <v>#N/A</v>
      </c>
      <c r="E72" s="21">
        <f>SUMIFS('Raw Data Entry'!$G:$G,'Raw Data Entry'!$B:$B,$A72,'Raw Data Entry'!$V:$V,$B72)</f>
        <v>0</v>
      </c>
      <c r="F72" s="345">
        <f t="shared" si="14"/>
        <v>0</v>
      </c>
      <c r="G72" s="348">
        <f t="shared" si="8"/>
        <v>0</v>
      </c>
      <c r="H72" s="22">
        <f>SUMIFS('Raw Data Entry'!$G:$G,'Raw Data Entry'!$B:$B,$A72,'Raw Data Entry'!$V:$V,$B72,'Raw Data Entry'!$A:$A,$B$3)</f>
        <v>0</v>
      </c>
      <c r="I72" s="16">
        <f t="shared" si="9"/>
        <v>0</v>
      </c>
      <c r="J72" s="143">
        <f t="shared" si="15"/>
        <v>0</v>
      </c>
      <c r="K72" s="28"/>
      <c r="L72" s="139"/>
      <c r="M72" s="139"/>
      <c r="N72" s="139"/>
      <c r="O72" s="139"/>
      <c r="P72" s="139"/>
      <c r="Q72" s="28"/>
      <c r="R72" s="16"/>
      <c r="S72" s="16"/>
      <c r="T72" s="16"/>
      <c r="U72" s="16"/>
      <c r="V72" s="16"/>
      <c r="W72" s="65"/>
      <c r="X72" s="16"/>
      <c r="Y72" s="16"/>
      <c r="Z72" s="16"/>
      <c r="AA72" s="16"/>
      <c r="AB72" s="3"/>
      <c r="AC72" s="16"/>
      <c r="AD72" s="16"/>
      <c r="AE72" s="16"/>
      <c r="AF72" s="16"/>
      <c r="AG72" s="16"/>
      <c r="AH72" s="16"/>
      <c r="AI72" s="65"/>
      <c r="AJ72" s="16"/>
      <c r="AK72" s="16"/>
      <c r="AL72" s="16"/>
      <c r="AM72" s="16"/>
      <c r="AN72" s="16"/>
      <c r="AO72" s="28"/>
      <c r="AP72" s="16"/>
      <c r="AQ72" s="16"/>
      <c r="AR72" s="16"/>
      <c r="AS72" s="16"/>
      <c r="AT72" s="16"/>
      <c r="AU72" s="28">
        <f t="shared" si="10"/>
        <v>0</v>
      </c>
      <c r="AV72" s="22">
        <f t="shared" si="16"/>
        <v>0</v>
      </c>
      <c r="AW72" s="128">
        <f t="shared" si="11"/>
        <v>0</v>
      </c>
      <c r="AX72" s="242">
        <f t="shared" si="28"/>
        <v>0</v>
      </c>
      <c r="AY72" s="243"/>
      <c r="AZ72" s="235"/>
      <c r="BA72" s="75">
        <f t="shared" si="12"/>
        <v>0</v>
      </c>
      <c r="BB72" s="73">
        <f t="shared" si="17"/>
        <v>0</v>
      </c>
      <c r="BC72" s="129"/>
      <c r="BD72" s="73">
        <f t="shared" si="13"/>
        <v>0</v>
      </c>
      <c r="BE72" s="75"/>
      <c r="BF72" s="93"/>
      <c r="BG72" s="73"/>
      <c r="BH72" s="69"/>
    </row>
    <row r="73" spans="1:71" ht="15" customHeight="1" x14ac:dyDescent="0.35">
      <c r="A73" s="249"/>
      <c r="B73" s="68"/>
      <c r="C73" s="27"/>
      <c r="D73" s="69" t="e">
        <f>MATCH(A73,_xlfn.UNIQUE($A$13:$A$75),0)</f>
        <v>#N/A</v>
      </c>
      <c r="E73" s="21">
        <f>SUMIFS('Raw Data Entry'!$G:$G,'Raw Data Entry'!$B:$B,$A73,'Raw Data Entry'!$V:$V,$B73)</f>
        <v>0</v>
      </c>
      <c r="F73" s="345">
        <f t="shared" si="14"/>
        <v>0</v>
      </c>
      <c r="G73" s="348">
        <f t="shared" si="8"/>
        <v>0</v>
      </c>
      <c r="H73" s="22">
        <f>SUMIFS('Raw Data Entry'!$G:$G,'Raw Data Entry'!$B:$B,$A73,'Raw Data Entry'!$V:$V,$B73,'Raw Data Entry'!$A:$A,$B$3)</f>
        <v>0</v>
      </c>
      <c r="I73" s="16">
        <f t="shared" si="9"/>
        <v>0</v>
      </c>
      <c r="J73" s="143">
        <f t="shared" si="15"/>
        <v>0</v>
      </c>
      <c r="K73" s="28"/>
      <c r="L73" s="139"/>
      <c r="M73" s="139"/>
      <c r="N73" s="139"/>
      <c r="O73" s="139"/>
      <c r="P73" s="139"/>
      <c r="Q73" s="28"/>
      <c r="R73" s="16"/>
      <c r="S73" s="16"/>
      <c r="T73" s="16"/>
      <c r="U73" s="16"/>
      <c r="V73" s="16"/>
      <c r="W73" s="65"/>
      <c r="X73" s="16"/>
      <c r="Y73" s="16"/>
      <c r="Z73" s="16"/>
      <c r="AA73" s="16"/>
      <c r="AB73" s="3"/>
      <c r="AC73" s="16"/>
      <c r="AD73" s="16"/>
      <c r="AE73" s="16"/>
      <c r="AF73" s="16"/>
      <c r="AG73" s="16"/>
      <c r="AH73" s="16"/>
      <c r="AI73" s="65"/>
      <c r="AJ73" s="16"/>
      <c r="AK73" s="16"/>
      <c r="AL73" s="16"/>
      <c r="AM73" s="16"/>
      <c r="AN73" s="16"/>
      <c r="AO73" s="28"/>
      <c r="AP73" s="16"/>
      <c r="AQ73" s="16"/>
      <c r="AR73" s="16"/>
      <c r="AS73" s="16"/>
      <c r="AT73" s="16"/>
      <c r="AU73" s="28">
        <f t="shared" si="10"/>
        <v>0</v>
      </c>
      <c r="AV73" s="22">
        <f t="shared" si="16"/>
        <v>0</v>
      </c>
      <c r="AW73" s="128">
        <f t="shared" si="11"/>
        <v>0</v>
      </c>
      <c r="AX73" s="242">
        <f t="shared" si="28"/>
        <v>0</v>
      </c>
      <c r="AY73" s="243"/>
      <c r="AZ73" s="235"/>
      <c r="BA73" s="75">
        <f t="shared" si="12"/>
        <v>0</v>
      </c>
      <c r="BB73" s="73">
        <f t="shared" si="17"/>
        <v>0</v>
      </c>
      <c r="BC73" s="129"/>
      <c r="BD73" s="73">
        <f t="shared" si="13"/>
        <v>0</v>
      </c>
      <c r="BE73" s="75"/>
      <c r="BF73" s="93"/>
      <c r="BG73" s="73"/>
      <c r="BH73" s="69"/>
    </row>
    <row r="74" spans="1:71" ht="15" customHeight="1" x14ac:dyDescent="0.35">
      <c r="A74" s="249"/>
      <c r="B74" s="68"/>
      <c r="C74" s="27"/>
      <c r="D74" s="69" t="e">
        <f>MATCH(A74,_xlfn.UNIQUE($A$13:$A$75),0)</f>
        <v>#N/A</v>
      </c>
      <c r="E74" s="21">
        <f>SUMIFS('Raw Data Entry'!$G:$G,'Raw Data Entry'!$B:$B,$A74,'Raw Data Entry'!$V:$V,$B74)</f>
        <v>0</v>
      </c>
      <c r="F74" s="345">
        <f t="shared" si="14"/>
        <v>0</v>
      </c>
      <c r="G74" s="348">
        <f t="shared" si="8"/>
        <v>0</v>
      </c>
      <c r="H74" s="22">
        <f>SUMIFS('Raw Data Entry'!$G:$G,'Raw Data Entry'!$B:$B,$A74,'Raw Data Entry'!$V:$V,$B74,'Raw Data Entry'!$A:$A,$B$3)</f>
        <v>0</v>
      </c>
      <c r="I74" s="16">
        <f t="shared" si="9"/>
        <v>0</v>
      </c>
      <c r="J74" s="143">
        <f t="shared" si="15"/>
        <v>0</v>
      </c>
      <c r="K74" s="28"/>
      <c r="L74" s="139"/>
      <c r="M74" s="139"/>
      <c r="N74" s="139"/>
      <c r="O74" s="139"/>
      <c r="P74" s="139"/>
      <c r="Q74" s="28"/>
      <c r="R74" s="16"/>
      <c r="S74" s="16"/>
      <c r="T74" s="16"/>
      <c r="U74" s="16"/>
      <c r="V74" s="16"/>
      <c r="W74" s="65"/>
      <c r="X74" s="16"/>
      <c r="Y74" s="16"/>
      <c r="Z74" s="16"/>
      <c r="AA74" s="16"/>
      <c r="AB74" s="3"/>
      <c r="AC74" s="16"/>
      <c r="AD74" s="16"/>
      <c r="AE74" s="16"/>
      <c r="AF74" s="16"/>
      <c r="AG74" s="16"/>
      <c r="AH74" s="16"/>
      <c r="AI74" s="65"/>
      <c r="AJ74" s="16"/>
      <c r="AK74" s="16"/>
      <c r="AL74" s="16"/>
      <c r="AM74" s="16"/>
      <c r="AN74" s="16"/>
      <c r="AO74" s="28"/>
      <c r="AP74" s="16"/>
      <c r="AQ74" s="16"/>
      <c r="AR74" s="16"/>
      <c r="AS74" s="16"/>
      <c r="AT74" s="16"/>
      <c r="AU74" s="28">
        <f t="shared" si="10"/>
        <v>0</v>
      </c>
      <c r="AV74" s="22">
        <f t="shared" si="16"/>
        <v>0</v>
      </c>
      <c r="AW74" s="72">
        <f t="shared" si="11"/>
        <v>0</v>
      </c>
      <c r="AX74" s="242">
        <f t="shared" si="28"/>
        <v>0</v>
      </c>
      <c r="AY74" s="244"/>
      <c r="AZ74" s="236"/>
      <c r="BA74" s="75">
        <f t="shared" si="12"/>
        <v>0</v>
      </c>
      <c r="BB74" s="73">
        <f t="shared" si="17"/>
        <v>0</v>
      </c>
      <c r="BC74" s="246"/>
      <c r="BD74" s="73">
        <f t="shared" si="13"/>
        <v>0</v>
      </c>
      <c r="BE74" s="75"/>
      <c r="BF74" s="93"/>
      <c r="BG74" s="73"/>
      <c r="BH74" s="69"/>
    </row>
    <row r="75" spans="1:71" ht="15" customHeight="1" thickBot="1" x14ac:dyDescent="0.4">
      <c r="A75" s="249"/>
      <c r="B75" s="68"/>
      <c r="C75" s="27"/>
      <c r="D75" s="69" t="e">
        <f>MATCH(A75,_xlfn.UNIQUE($A$13:$A$75),0)</f>
        <v>#N/A</v>
      </c>
      <c r="E75" s="21">
        <f>SUMIFS('Raw Data Entry'!$G:$G,'Raw Data Entry'!$B:$B,$A75,'Raw Data Entry'!$V:$V,$B75)</f>
        <v>0</v>
      </c>
      <c r="F75" s="345">
        <f t="shared" si="14"/>
        <v>0</v>
      </c>
      <c r="G75" s="348">
        <f t="shared" si="8"/>
        <v>0</v>
      </c>
      <c r="H75" s="140">
        <f>SUMIFS('Raw Data Entry'!$G:$G,'Raw Data Entry'!$B:$B,$A75,'Raw Data Entry'!$V:$V,$B75,'Raw Data Entry'!$A:$A,$B$3)</f>
        <v>0</v>
      </c>
      <c r="I75" s="16">
        <f t="shared" si="9"/>
        <v>0</v>
      </c>
      <c r="J75" s="144">
        <f t="shared" si="15"/>
        <v>0</v>
      </c>
      <c r="K75" s="145"/>
      <c r="L75" s="139"/>
      <c r="M75" s="139"/>
      <c r="N75" s="139"/>
      <c r="O75" s="139"/>
      <c r="P75" s="139"/>
      <c r="Q75" s="28"/>
      <c r="R75" s="16"/>
      <c r="S75" s="16"/>
      <c r="T75" s="16"/>
      <c r="U75" s="16"/>
      <c r="V75" s="16"/>
      <c r="W75" s="65"/>
      <c r="X75" s="16"/>
      <c r="Y75" s="16"/>
      <c r="Z75" s="16"/>
      <c r="AA75" s="16"/>
      <c r="AB75" s="3"/>
      <c r="AC75" s="16"/>
      <c r="AD75" s="16"/>
      <c r="AE75" s="16"/>
      <c r="AF75" s="16"/>
      <c r="AG75" s="16"/>
      <c r="AH75" s="16"/>
      <c r="AI75" s="65"/>
      <c r="AJ75" s="16"/>
      <c r="AK75" s="16"/>
      <c r="AL75" s="16"/>
      <c r="AM75" s="16"/>
      <c r="AN75" s="16"/>
      <c r="AO75" s="28"/>
      <c r="AP75" s="16"/>
      <c r="AQ75" s="16"/>
      <c r="AR75" s="16"/>
      <c r="AS75" s="16"/>
      <c r="AT75" s="16"/>
      <c r="AU75" s="28">
        <f t="shared" si="10"/>
        <v>0</v>
      </c>
      <c r="AV75" s="22">
        <f t="shared" si="16"/>
        <v>0</v>
      </c>
      <c r="AW75" s="72">
        <f t="shared" si="11"/>
        <v>0</v>
      </c>
      <c r="AX75" s="242">
        <f t="shared" si="28"/>
        <v>0</v>
      </c>
      <c r="AY75" s="245"/>
      <c r="AZ75" s="236"/>
      <c r="BA75" s="239">
        <f t="shared" si="12"/>
        <v>0</v>
      </c>
      <c r="BB75" s="73">
        <f t="shared" si="17"/>
        <v>0</v>
      </c>
      <c r="BC75" s="246"/>
      <c r="BD75" s="73">
        <f t="shared" si="13"/>
        <v>0</v>
      </c>
      <c r="BE75" s="75"/>
      <c r="BF75" s="93"/>
      <c r="BG75" s="73"/>
      <c r="BH75" s="69"/>
    </row>
    <row r="76" spans="1:71" s="64" customFormat="1" ht="15" thickBot="1" x14ac:dyDescent="0.4">
      <c r="A76" s="63"/>
      <c r="B76" s="63"/>
      <c r="C76" s="63"/>
      <c r="D76" s="66"/>
      <c r="E76" s="55">
        <f>SUM(E13:E75)</f>
        <v>27695</v>
      </c>
      <c r="F76" s="346">
        <f>SUM(F13:F75)</f>
        <v>0</v>
      </c>
      <c r="G76" s="59">
        <f>SUM(G13:G75)</f>
        <v>0</v>
      </c>
      <c r="H76" s="59">
        <f>SUM(H13:H75)</f>
        <v>5690</v>
      </c>
      <c r="I76" s="55">
        <f>SUM(I12:I74)</f>
        <v>13385</v>
      </c>
      <c r="J76" s="147">
        <f>SUM(J13:J75)</f>
        <v>7695</v>
      </c>
      <c r="K76" s="413">
        <f>SUM(K13:P75)</f>
        <v>279308.64</v>
      </c>
      <c r="L76" s="414"/>
      <c r="M76" s="414"/>
      <c r="N76" s="414"/>
      <c r="O76" s="414"/>
      <c r="P76" s="415"/>
      <c r="Q76" s="371">
        <f>SUM(Q13:AB75)</f>
        <v>1508914.8517368</v>
      </c>
      <c r="R76" s="372"/>
      <c r="S76" s="372"/>
      <c r="T76" s="372"/>
      <c r="U76" s="372"/>
      <c r="V76" s="372"/>
      <c r="W76" s="372"/>
      <c r="X76" s="372"/>
      <c r="Y76" s="372"/>
      <c r="Z76" s="372"/>
      <c r="AA76" s="372"/>
      <c r="AB76" s="373"/>
      <c r="AC76" s="371">
        <f>SUM(AC13:AN75)</f>
        <v>2450076.8197575994</v>
      </c>
      <c r="AD76" s="372"/>
      <c r="AE76" s="372"/>
      <c r="AF76" s="372"/>
      <c r="AG76" s="372"/>
      <c r="AH76" s="372"/>
      <c r="AI76" s="372"/>
      <c r="AJ76" s="372"/>
      <c r="AK76" s="372"/>
      <c r="AL76" s="372"/>
      <c r="AM76" s="372"/>
      <c r="AN76" s="373"/>
      <c r="AO76" s="374">
        <f>SUM(AO13:AT75)</f>
        <v>0</v>
      </c>
      <c r="AP76" s="375"/>
      <c r="AQ76" s="375"/>
      <c r="AR76" s="375"/>
      <c r="AS76" s="375"/>
      <c r="AT76" s="376"/>
      <c r="AU76" s="56">
        <f t="shared" ref="AU76:AZ76" si="41">SUM(AU13:AU75)</f>
        <v>4238300.3114943998</v>
      </c>
      <c r="AV76" s="57">
        <f t="shared" si="41"/>
        <v>27695</v>
      </c>
      <c r="AW76" s="57">
        <f t="shared" si="41"/>
        <v>4265995.3114943998</v>
      </c>
      <c r="AX76" s="58">
        <f t="shared" si="41"/>
        <v>13385</v>
      </c>
      <c r="AY76" s="56">
        <f t="shared" si="41"/>
        <v>4265995.3114943998</v>
      </c>
      <c r="AZ76" s="58">
        <f t="shared" si="41"/>
        <v>13385</v>
      </c>
      <c r="BA76" s="59">
        <f>AY76-AW76</f>
        <v>0</v>
      </c>
      <c r="BB76" s="147">
        <f>SUM(BB13:BB75)</f>
        <v>7695</v>
      </c>
      <c r="BC76" s="60">
        <f>SUM(BC13:BC75)</f>
        <v>4265995.3114943998</v>
      </c>
      <c r="BD76" s="59">
        <f>SUM(BD13:BD75)</f>
        <v>0</v>
      </c>
      <c r="BE76" s="398">
        <f>SUM(BF13:BF75)</f>
        <v>0</v>
      </c>
      <c r="BF76" s="399"/>
      <c r="BG76" s="400"/>
      <c r="BH76" s="61"/>
      <c r="BI76" s="61"/>
      <c r="BJ76" s="61"/>
      <c r="BK76" s="61"/>
      <c r="BL76" s="62"/>
      <c r="BM76" s="61"/>
      <c r="BN76" s="61"/>
      <c r="BO76" s="62"/>
      <c r="BP76" s="61"/>
      <c r="BQ76" s="61"/>
      <c r="BR76" s="61"/>
      <c r="BS76" s="61"/>
    </row>
    <row r="78" spans="1:71" ht="15" thickBot="1" x14ac:dyDescent="0.4"/>
    <row r="79" spans="1:71" x14ac:dyDescent="0.35">
      <c r="I79" s="360" t="s">
        <v>85</v>
      </c>
      <c r="J79" s="356" t="s">
        <v>86</v>
      </c>
      <c r="K79" s="142" t="s">
        <v>27</v>
      </c>
      <c r="L79" s="29" t="s">
        <v>5</v>
      </c>
      <c r="M79" s="29" t="s">
        <v>28</v>
      </c>
      <c r="N79" s="29" t="s">
        <v>29</v>
      </c>
      <c r="O79" s="29" t="s">
        <v>30</v>
      </c>
      <c r="P79" s="30" t="s">
        <v>31</v>
      </c>
      <c r="Q79" s="31" t="s">
        <v>32</v>
      </c>
      <c r="R79" s="32" t="s">
        <v>33</v>
      </c>
      <c r="S79" s="32" t="s">
        <v>34</v>
      </c>
      <c r="T79" s="32" t="s">
        <v>35</v>
      </c>
      <c r="U79" s="32" t="s">
        <v>36</v>
      </c>
      <c r="V79" s="33" t="s">
        <v>37</v>
      </c>
      <c r="W79" s="34" t="s">
        <v>38</v>
      </c>
      <c r="X79" s="32" t="s">
        <v>39</v>
      </c>
      <c r="Y79" s="32" t="s">
        <v>40</v>
      </c>
      <c r="Z79" s="32" t="s">
        <v>41</v>
      </c>
      <c r="AA79" s="32" t="s">
        <v>42</v>
      </c>
      <c r="AB79" s="35" t="s">
        <v>43</v>
      </c>
      <c r="AU79" s="356" t="s">
        <v>87</v>
      </c>
    </row>
    <row r="80" spans="1:71" ht="15" thickBot="1" x14ac:dyDescent="0.4">
      <c r="I80" s="361"/>
      <c r="J80" s="357"/>
      <c r="K80" s="152">
        <v>46023</v>
      </c>
      <c r="L80" s="153">
        <f>EDATE(K80,1)</f>
        <v>46054</v>
      </c>
      <c r="M80" s="153">
        <f t="shared" ref="M80" si="42">EDATE(L80,1)</f>
        <v>46082</v>
      </c>
      <c r="N80" s="153">
        <f t="shared" ref="N80" si="43">EDATE(M80,1)</f>
        <v>46113</v>
      </c>
      <c r="O80" s="153">
        <f t="shared" ref="O80" si="44">EDATE(N80,1)</f>
        <v>46143</v>
      </c>
      <c r="P80" s="154">
        <f t="shared" ref="P80" si="45">EDATE(O80,1)</f>
        <v>46174</v>
      </c>
      <c r="Q80" s="152">
        <f t="shared" ref="Q80" si="46">EDATE(P80,1)</f>
        <v>46204</v>
      </c>
      <c r="R80" s="153">
        <f t="shared" ref="R80" si="47">EDATE(Q80,1)</f>
        <v>46235</v>
      </c>
      <c r="S80" s="153">
        <f t="shared" ref="S80" si="48">EDATE(R80,1)</f>
        <v>46266</v>
      </c>
      <c r="T80" s="153">
        <f t="shared" ref="T80" si="49">EDATE(S80,1)</f>
        <v>46296</v>
      </c>
      <c r="U80" s="153">
        <f t="shared" ref="U80" si="50">EDATE(T80,1)</f>
        <v>46327</v>
      </c>
      <c r="V80" s="155">
        <f t="shared" ref="V80" si="51">EDATE(U80,1)</f>
        <v>46357</v>
      </c>
      <c r="W80" s="156">
        <f t="shared" ref="W80" si="52">EDATE(V80,1)</f>
        <v>46388</v>
      </c>
      <c r="X80" s="157">
        <f t="shared" ref="X80" si="53">EDATE(W80,1)</f>
        <v>46419</v>
      </c>
      <c r="Y80" s="157">
        <f t="shared" ref="Y80" si="54">EDATE(X80,1)</f>
        <v>46447</v>
      </c>
      <c r="Z80" s="157">
        <f t="shared" ref="Z80" si="55">EDATE(Y80,1)</f>
        <v>46478</v>
      </c>
      <c r="AA80" s="157">
        <f t="shared" ref="AA80" si="56">EDATE(Z80,1)</f>
        <v>46508</v>
      </c>
      <c r="AB80" s="158">
        <f t="shared" ref="AB80" si="57">EDATE(AA80,1)</f>
        <v>46539</v>
      </c>
      <c r="AU80" s="357"/>
    </row>
    <row r="81" spans="9:47" ht="15" thickBot="1" x14ac:dyDescent="0.4">
      <c r="I81" s="361"/>
      <c r="J81" s="69" t="str" cm="1">
        <f t="array" ref="J81:J94">_xlfn.UNIQUE(A13:A75)</f>
        <v>WA57102001</v>
      </c>
      <c r="K81" s="161">
        <f t="shared" ref="K81:AB81" si="58">SUMIF($A$12:$A$75,$J81,K$12:K$75)</f>
        <v>0</v>
      </c>
      <c r="L81" s="162">
        <f t="shared" si="58"/>
        <v>0</v>
      </c>
      <c r="M81" s="162">
        <f t="shared" si="58"/>
        <v>20160</v>
      </c>
      <c r="N81" s="162">
        <f t="shared" si="58"/>
        <v>23160</v>
      </c>
      <c r="O81" s="162">
        <f t="shared" si="58"/>
        <v>20160</v>
      </c>
      <c r="P81" s="162">
        <f t="shared" si="58"/>
        <v>21360</v>
      </c>
      <c r="Q81" s="161">
        <f t="shared" si="58"/>
        <v>21360</v>
      </c>
      <c r="R81" s="162">
        <f t="shared" si="58"/>
        <v>22560</v>
      </c>
      <c r="S81" s="162">
        <f t="shared" si="58"/>
        <v>22560</v>
      </c>
      <c r="T81" s="162">
        <f t="shared" si="58"/>
        <v>27580</v>
      </c>
      <c r="U81" s="162">
        <f t="shared" si="58"/>
        <v>0</v>
      </c>
      <c r="V81" s="162">
        <f t="shared" si="58"/>
        <v>0</v>
      </c>
      <c r="W81" s="163">
        <f t="shared" si="58"/>
        <v>0</v>
      </c>
      <c r="X81" s="162">
        <f t="shared" si="58"/>
        <v>0</v>
      </c>
      <c r="Y81" s="162">
        <f t="shared" si="58"/>
        <v>0</v>
      </c>
      <c r="Z81" s="162">
        <f t="shared" si="58"/>
        <v>0</v>
      </c>
      <c r="AA81" s="162">
        <f t="shared" si="58"/>
        <v>0</v>
      </c>
      <c r="AB81" s="164">
        <f t="shared" si="58"/>
        <v>0</v>
      </c>
      <c r="AC81" s="164">
        <f t="shared" ref="AC81:AL94" si="59">SUMIF($A$12:$A$75,$J81,AC$12:AC$75)</f>
        <v>0</v>
      </c>
      <c r="AD81" s="164">
        <f t="shared" si="59"/>
        <v>0</v>
      </c>
      <c r="AE81" s="164">
        <f t="shared" si="59"/>
        <v>0</v>
      </c>
      <c r="AF81" s="164">
        <f t="shared" si="59"/>
        <v>0</v>
      </c>
      <c r="AG81" s="164">
        <f t="shared" si="59"/>
        <v>0</v>
      </c>
      <c r="AH81" s="164">
        <f t="shared" si="59"/>
        <v>0</v>
      </c>
      <c r="AI81" s="164">
        <f t="shared" si="59"/>
        <v>0</v>
      </c>
      <c r="AJ81" s="164">
        <f t="shared" si="59"/>
        <v>0</v>
      </c>
      <c r="AK81" s="164">
        <f t="shared" si="59"/>
        <v>0</v>
      </c>
      <c r="AL81" s="164">
        <f t="shared" si="59"/>
        <v>0</v>
      </c>
      <c r="AM81" s="164">
        <f t="shared" ref="AM81:AT94" si="60">SUMIF($A$12:$A$75,$J81,AM$12:AM$75)</f>
        <v>0</v>
      </c>
      <c r="AN81" s="164">
        <f t="shared" si="60"/>
        <v>0</v>
      </c>
      <c r="AO81" s="164">
        <f t="shared" si="60"/>
        <v>0</v>
      </c>
      <c r="AP81" s="164">
        <f t="shared" si="60"/>
        <v>0</v>
      </c>
      <c r="AQ81" s="164">
        <f t="shared" si="60"/>
        <v>0</v>
      </c>
      <c r="AR81" s="164">
        <f t="shared" si="60"/>
        <v>0</v>
      </c>
      <c r="AS81" s="164">
        <f t="shared" si="60"/>
        <v>0</v>
      </c>
      <c r="AT81" s="164">
        <f t="shared" si="60"/>
        <v>0</v>
      </c>
      <c r="AU81" s="177">
        <f>SUM(K81:AT81)</f>
        <v>178900</v>
      </c>
    </row>
    <row r="82" spans="9:47" ht="15" thickBot="1" x14ac:dyDescent="0.4">
      <c r="I82" s="361"/>
      <c r="J82" s="69" t="str">
        <v>WA57102002</v>
      </c>
      <c r="K82" s="161">
        <f t="shared" ref="K82:T94" si="61">SUMIF($A$12:$A$75,$J82,K$12:K$75)</f>
        <v>0</v>
      </c>
      <c r="L82" s="162">
        <f t="shared" si="61"/>
        <v>0</v>
      </c>
      <c r="M82" s="162">
        <f t="shared" si="61"/>
        <v>0</v>
      </c>
      <c r="N82" s="162">
        <f t="shared" si="61"/>
        <v>0</v>
      </c>
      <c r="O82" s="162">
        <f t="shared" si="61"/>
        <v>0</v>
      </c>
      <c r="P82" s="162">
        <f t="shared" si="61"/>
        <v>13258.64</v>
      </c>
      <c r="Q82" s="161">
        <f t="shared" si="61"/>
        <v>0</v>
      </c>
      <c r="R82" s="162">
        <f t="shared" si="61"/>
        <v>9091.36</v>
      </c>
      <c r="S82" s="162">
        <f t="shared" si="61"/>
        <v>0</v>
      </c>
      <c r="T82" s="162">
        <f t="shared" si="61"/>
        <v>0</v>
      </c>
      <c r="U82" s="162">
        <f t="shared" ref="U82:AB94" si="62">SUMIF($A$12:$A$75,$J82,U$12:U$75)</f>
        <v>0</v>
      </c>
      <c r="V82" s="162">
        <f t="shared" si="62"/>
        <v>0</v>
      </c>
      <c r="W82" s="163">
        <f t="shared" si="62"/>
        <v>0</v>
      </c>
      <c r="X82" s="162">
        <f t="shared" si="62"/>
        <v>0</v>
      </c>
      <c r="Y82" s="162">
        <f t="shared" si="62"/>
        <v>0</v>
      </c>
      <c r="Z82" s="162">
        <f t="shared" si="62"/>
        <v>0</v>
      </c>
      <c r="AA82" s="162">
        <f t="shared" si="62"/>
        <v>0</v>
      </c>
      <c r="AB82" s="164">
        <f t="shared" si="62"/>
        <v>0</v>
      </c>
      <c r="AC82" s="164">
        <f t="shared" si="59"/>
        <v>0</v>
      </c>
      <c r="AD82" s="164">
        <f t="shared" si="59"/>
        <v>0</v>
      </c>
      <c r="AE82" s="164">
        <f t="shared" si="59"/>
        <v>0</v>
      </c>
      <c r="AF82" s="164">
        <f t="shared" si="59"/>
        <v>0</v>
      </c>
      <c r="AG82" s="164">
        <f t="shared" si="59"/>
        <v>0</v>
      </c>
      <c r="AH82" s="164">
        <f t="shared" si="59"/>
        <v>0</v>
      </c>
      <c r="AI82" s="164">
        <f t="shared" si="59"/>
        <v>0</v>
      </c>
      <c r="AJ82" s="164">
        <f t="shared" si="59"/>
        <v>0</v>
      </c>
      <c r="AK82" s="164">
        <f t="shared" si="59"/>
        <v>0</v>
      </c>
      <c r="AL82" s="164">
        <f t="shared" si="59"/>
        <v>0</v>
      </c>
      <c r="AM82" s="164">
        <f t="shared" si="60"/>
        <v>0</v>
      </c>
      <c r="AN82" s="164">
        <f t="shared" si="60"/>
        <v>0</v>
      </c>
      <c r="AO82" s="164">
        <f t="shared" si="60"/>
        <v>0</v>
      </c>
      <c r="AP82" s="164">
        <f t="shared" si="60"/>
        <v>0</v>
      </c>
      <c r="AQ82" s="164">
        <f t="shared" si="60"/>
        <v>0</v>
      </c>
      <c r="AR82" s="164">
        <f t="shared" si="60"/>
        <v>0</v>
      </c>
      <c r="AS82" s="164">
        <f t="shared" si="60"/>
        <v>0</v>
      </c>
      <c r="AT82" s="164">
        <f t="shared" si="60"/>
        <v>0</v>
      </c>
      <c r="AU82" s="177">
        <f t="shared" ref="AU82:AU94" si="63">SUM(K82:AT82)</f>
        <v>22350</v>
      </c>
    </row>
    <row r="83" spans="9:47" ht="15" thickBot="1" x14ac:dyDescent="0.4">
      <c r="I83" s="361"/>
      <c r="J83" s="69" t="str">
        <v>WA57102003</v>
      </c>
      <c r="K83" s="161">
        <f t="shared" si="61"/>
        <v>0</v>
      </c>
      <c r="L83" s="162">
        <f t="shared" si="61"/>
        <v>0</v>
      </c>
      <c r="M83" s="162">
        <f t="shared" si="61"/>
        <v>0</v>
      </c>
      <c r="N83" s="162">
        <f t="shared" si="61"/>
        <v>45000</v>
      </c>
      <c r="O83" s="162">
        <f t="shared" si="61"/>
        <v>35000</v>
      </c>
      <c r="P83" s="162">
        <f t="shared" si="61"/>
        <v>55000</v>
      </c>
      <c r="Q83" s="161">
        <f t="shared" si="61"/>
        <v>55000</v>
      </c>
      <c r="R83" s="162">
        <f t="shared" si="61"/>
        <v>27000</v>
      </c>
      <c r="S83" s="162">
        <f t="shared" si="61"/>
        <v>0</v>
      </c>
      <c r="T83" s="162">
        <f t="shared" si="61"/>
        <v>0</v>
      </c>
      <c r="U83" s="162">
        <f t="shared" si="62"/>
        <v>0</v>
      </c>
      <c r="V83" s="162">
        <f t="shared" si="62"/>
        <v>0</v>
      </c>
      <c r="W83" s="163">
        <f t="shared" si="62"/>
        <v>0</v>
      </c>
      <c r="X83" s="162">
        <f t="shared" si="62"/>
        <v>0</v>
      </c>
      <c r="Y83" s="162">
        <f t="shared" si="62"/>
        <v>0</v>
      </c>
      <c r="Z83" s="162">
        <f t="shared" si="62"/>
        <v>0</v>
      </c>
      <c r="AA83" s="162">
        <f t="shared" si="62"/>
        <v>0</v>
      </c>
      <c r="AB83" s="164">
        <f t="shared" si="62"/>
        <v>0</v>
      </c>
      <c r="AC83" s="164">
        <f t="shared" si="59"/>
        <v>0</v>
      </c>
      <c r="AD83" s="164">
        <f t="shared" si="59"/>
        <v>0</v>
      </c>
      <c r="AE83" s="164">
        <f t="shared" si="59"/>
        <v>0</v>
      </c>
      <c r="AF83" s="164">
        <f t="shared" si="59"/>
        <v>0</v>
      </c>
      <c r="AG83" s="164">
        <f t="shared" si="59"/>
        <v>0</v>
      </c>
      <c r="AH83" s="164">
        <f t="shared" si="59"/>
        <v>0</v>
      </c>
      <c r="AI83" s="164">
        <f t="shared" si="59"/>
        <v>0</v>
      </c>
      <c r="AJ83" s="164">
        <f t="shared" si="59"/>
        <v>0</v>
      </c>
      <c r="AK83" s="164">
        <f t="shared" si="59"/>
        <v>0</v>
      </c>
      <c r="AL83" s="164">
        <f t="shared" si="59"/>
        <v>0</v>
      </c>
      <c r="AM83" s="164">
        <f t="shared" si="60"/>
        <v>0</v>
      </c>
      <c r="AN83" s="164">
        <f t="shared" si="60"/>
        <v>0</v>
      </c>
      <c r="AO83" s="164">
        <f t="shared" si="60"/>
        <v>0</v>
      </c>
      <c r="AP83" s="164">
        <f t="shared" si="60"/>
        <v>0</v>
      </c>
      <c r="AQ83" s="164">
        <f t="shared" si="60"/>
        <v>0</v>
      </c>
      <c r="AR83" s="164">
        <f t="shared" si="60"/>
        <v>0</v>
      </c>
      <c r="AS83" s="164">
        <f t="shared" si="60"/>
        <v>0</v>
      </c>
      <c r="AT83" s="164">
        <f t="shared" si="60"/>
        <v>0</v>
      </c>
      <c r="AU83" s="177">
        <f t="shared" si="63"/>
        <v>217000</v>
      </c>
    </row>
    <row r="84" spans="9:47" ht="15" thickBot="1" x14ac:dyDescent="0.4">
      <c r="I84" s="361"/>
      <c r="J84" s="69" t="str">
        <v>WA57102005</v>
      </c>
      <c r="K84" s="161">
        <f t="shared" si="61"/>
        <v>0</v>
      </c>
      <c r="L84" s="162">
        <f t="shared" si="61"/>
        <v>0</v>
      </c>
      <c r="M84" s="162">
        <f t="shared" si="61"/>
        <v>0</v>
      </c>
      <c r="N84" s="162">
        <f t="shared" si="61"/>
        <v>0</v>
      </c>
      <c r="O84" s="162">
        <f t="shared" si="61"/>
        <v>10675</v>
      </c>
      <c r="P84" s="162">
        <f t="shared" si="61"/>
        <v>11375</v>
      </c>
      <c r="Q84" s="161">
        <f t="shared" si="61"/>
        <v>1575</v>
      </c>
      <c r="R84" s="162">
        <f t="shared" si="61"/>
        <v>5105</v>
      </c>
      <c r="S84" s="162">
        <f t="shared" si="61"/>
        <v>5105</v>
      </c>
      <c r="T84" s="162">
        <f t="shared" si="61"/>
        <v>875</v>
      </c>
      <c r="U84" s="162">
        <f t="shared" si="62"/>
        <v>0</v>
      </c>
      <c r="V84" s="162">
        <f t="shared" si="62"/>
        <v>0</v>
      </c>
      <c r="W84" s="163">
        <f t="shared" si="62"/>
        <v>0</v>
      </c>
      <c r="X84" s="162">
        <f t="shared" si="62"/>
        <v>0</v>
      </c>
      <c r="Y84" s="162">
        <f t="shared" si="62"/>
        <v>0</v>
      </c>
      <c r="Z84" s="162">
        <f t="shared" si="62"/>
        <v>0</v>
      </c>
      <c r="AA84" s="162">
        <f t="shared" si="62"/>
        <v>0</v>
      </c>
      <c r="AB84" s="164">
        <f t="shared" si="62"/>
        <v>0</v>
      </c>
      <c r="AC84" s="164">
        <f t="shared" si="59"/>
        <v>0</v>
      </c>
      <c r="AD84" s="164">
        <f t="shared" si="59"/>
        <v>0</v>
      </c>
      <c r="AE84" s="164">
        <f t="shared" si="59"/>
        <v>0</v>
      </c>
      <c r="AF84" s="164">
        <f t="shared" si="59"/>
        <v>0</v>
      </c>
      <c r="AG84" s="164">
        <f t="shared" si="59"/>
        <v>0</v>
      </c>
      <c r="AH84" s="164">
        <f t="shared" si="59"/>
        <v>0</v>
      </c>
      <c r="AI84" s="164">
        <f t="shared" si="59"/>
        <v>0</v>
      </c>
      <c r="AJ84" s="164">
        <f t="shared" si="59"/>
        <v>0</v>
      </c>
      <c r="AK84" s="164">
        <f t="shared" si="59"/>
        <v>0</v>
      </c>
      <c r="AL84" s="164">
        <f t="shared" si="59"/>
        <v>0</v>
      </c>
      <c r="AM84" s="164">
        <f t="shared" si="60"/>
        <v>0</v>
      </c>
      <c r="AN84" s="164">
        <f t="shared" si="60"/>
        <v>0</v>
      </c>
      <c r="AO84" s="164">
        <f t="shared" si="60"/>
        <v>0</v>
      </c>
      <c r="AP84" s="164">
        <f t="shared" si="60"/>
        <v>0</v>
      </c>
      <c r="AQ84" s="164">
        <f t="shared" si="60"/>
        <v>0</v>
      </c>
      <c r="AR84" s="164">
        <f t="shared" si="60"/>
        <v>0</v>
      </c>
      <c r="AS84" s="164">
        <f t="shared" si="60"/>
        <v>0</v>
      </c>
      <c r="AT84" s="164">
        <f t="shared" si="60"/>
        <v>0</v>
      </c>
      <c r="AU84" s="177">
        <f t="shared" si="63"/>
        <v>34710</v>
      </c>
    </row>
    <row r="85" spans="9:47" ht="15" thickBot="1" x14ac:dyDescent="0.4">
      <c r="I85" s="361"/>
      <c r="J85" s="69" t="str">
        <v>WA57103001</v>
      </c>
      <c r="K85" s="161">
        <f t="shared" si="61"/>
        <v>0</v>
      </c>
      <c r="L85" s="162">
        <f t="shared" si="61"/>
        <v>0</v>
      </c>
      <c r="M85" s="162">
        <f t="shared" si="61"/>
        <v>0</v>
      </c>
      <c r="N85" s="162">
        <f t="shared" si="61"/>
        <v>0</v>
      </c>
      <c r="O85" s="162">
        <f t="shared" si="61"/>
        <v>0</v>
      </c>
      <c r="P85" s="162">
        <f t="shared" si="61"/>
        <v>0</v>
      </c>
      <c r="Q85" s="161">
        <f t="shared" si="61"/>
        <v>0</v>
      </c>
      <c r="R85" s="162">
        <f t="shared" si="61"/>
        <v>0</v>
      </c>
      <c r="S85" s="162">
        <f t="shared" si="61"/>
        <v>0</v>
      </c>
      <c r="T85" s="162">
        <f t="shared" si="61"/>
        <v>0</v>
      </c>
      <c r="U85" s="162">
        <f t="shared" si="62"/>
        <v>20160</v>
      </c>
      <c r="V85" s="162">
        <f t="shared" si="62"/>
        <v>20160</v>
      </c>
      <c r="W85" s="163">
        <f t="shared" si="62"/>
        <v>20160</v>
      </c>
      <c r="X85" s="162">
        <f t="shared" si="62"/>
        <v>22560</v>
      </c>
      <c r="Y85" s="162">
        <f t="shared" si="62"/>
        <v>26160</v>
      </c>
      <c r="Z85" s="162">
        <f t="shared" si="62"/>
        <v>24960</v>
      </c>
      <c r="AA85" s="162">
        <f t="shared" si="62"/>
        <v>26160</v>
      </c>
      <c r="AB85" s="164">
        <f t="shared" si="62"/>
        <v>22560</v>
      </c>
      <c r="AC85" s="164">
        <f t="shared" si="59"/>
        <v>22560</v>
      </c>
      <c r="AD85" s="164">
        <f t="shared" si="59"/>
        <v>21360</v>
      </c>
      <c r="AE85" s="164">
        <f t="shared" si="59"/>
        <v>22560</v>
      </c>
      <c r="AF85" s="164">
        <f t="shared" si="59"/>
        <v>35760</v>
      </c>
      <c r="AG85" s="164">
        <f t="shared" si="59"/>
        <v>38160</v>
      </c>
      <c r="AH85" s="164">
        <f t="shared" si="59"/>
        <v>36960</v>
      </c>
      <c r="AI85" s="164">
        <f t="shared" si="59"/>
        <v>34560</v>
      </c>
      <c r="AJ85" s="164">
        <f t="shared" si="59"/>
        <v>24960</v>
      </c>
      <c r="AK85" s="164">
        <f t="shared" si="59"/>
        <v>20160</v>
      </c>
      <c r="AL85" s="164">
        <f t="shared" si="59"/>
        <v>17760</v>
      </c>
      <c r="AM85" s="164">
        <f t="shared" si="60"/>
        <v>11760</v>
      </c>
      <c r="AN85" s="164">
        <f t="shared" si="60"/>
        <v>3480</v>
      </c>
      <c r="AO85" s="164">
        <f t="shared" si="60"/>
        <v>0</v>
      </c>
      <c r="AP85" s="164">
        <f t="shared" si="60"/>
        <v>0</v>
      </c>
      <c r="AQ85" s="164">
        <f t="shared" si="60"/>
        <v>0</v>
      </c>
      <c r="AR85" s="164">
        <f t="shared" si="60"/>
        <v>0</v>
      </c>
      <c r="AS85" s="164">
        <f t="shared" si="60"/>
        <v>0</v>
      </c>
      <c r="AT85" s="164">
        <f t="shared" si="60"/>
        <v>0</v>
      </c>
      <c r="AU85" s="177">
        <f t="shared" si="63"/>
        <v>472920</v>
      </c>
    </row>
    <row r="86" spans="9:47" ht="15" thickBot="1" x14ac:dyDescent="0.4">
      <c r="I86" s="361"/>
      <c r="J86" s="69" t="str">
        <v>WA57103002</v>
      </c>
      <c r="K86" s="161">
        <f t="shared" si="61"/>
        <v>0</v>
      </c>
      <c r="L86" s="162">
        <f t="shared" si="61"/>
        <v>0</v>
      </c>
      <c r="M86" s="162">
        <f t="shared" si="61"/>
        <v>0</v>
      </c>
      <c r="N86" s="162">
        <f t="shared" si="61"/>
        <v>0</v>
      </c>
      <c r="O86" s="162">
        <f t="shared" si="61"/>
        <v>0</v>
      </c>
      <c r="P86" s="162">
        <f t="shared" si="61"/>
        <v>0</v>
      </c>
      <c r="Q86" s="161">
        <f t="shared" si="61"/>
        <v>0</v>
      </c>
      <c r="R86" s="162">
        <f t="shared" si="61"/>
        <v>0</v>
      </c>
      <c r="S86" s="162">
        <f t="shared" si="61"/>
        <v>0</v>
      </c>
      <c r="T86" s="162">
        <f t="shared" si="61"/>
        <v>0</v>
      </c>
      <c r="U86" s="162">
        <f t="shared" si="62"/>
        <v>0</v>
      </c>
      <c r="V86" s="162">
        <f t="shared" si="62"/>
        <v>0</v>
      </c>
      <c r="W86" s="163">
        <f t="shared" si="62"/>
        <v>0</v>
      </c>
      <c r="X86" s="162">
        <f t="shared" si="62"/>
        <v>0</v>
      </c>
      <c r="Y86" s="162">
        <f t="shared" si="62"/>
        <v>0</v>
      </c>
      <c r="Z86" s="162">
        <f t="shared" si="62"/>
        <v>0</v>
      </c>
      <c r="AA86" s="162">
        <f t="shared" si="62"/>
        <v>0</v>
      </c>
      <c r="AB86" s="164">
        <f t="shared" si="62"/>
        <v>0</v>
      </c>
      <c r="AC86" s="164">
        <f t="shared" si="59"/>
        <v>0</v>
      </c>
      <c r="AD86" s="164">
        <f t="shared" si="59"/>
        <v>0</v>
      </c>
      <c r="AE86" s="164">
        <f t="shared" si="59"/>
        <v>0</v>
      </c>
      <c r="AF86" s="164">
        <f t="shared" si="59"/>
        <v>1058.3333333333335</v>
      </c>
      <c r="AG86" s="164">
        <f t="shared" si="59"/>
        <v>1058.3333333333335</v>
      </c>
      <c r="AH86" s="164">
        <f t="shared" si="59"/>
        <v>1058.3333333333335</v>
      </c>
      <c r="AI86" s="164">
        <f t="shared" si="59"/>
        <v>1058.3333333333335</v>
      </c>
      <c r="AJ86" s="164">
        <f t="shared" si="59"/>
        <v>1058.3333333333335</v>
      </c>
      <c r="AK86" s="164">
        <f t="shared" si="59"/>
        <v>1058.3333333333335</v>
      </c>
      <c r="AL86" s="164">
        <f t="shared" si="59"/>
        <v>0</v>
      </c>
      <c r="AM86" s="164">
        <f t="shared" si="60"/>
        <v>0</v>
      </c>
      <c r="AN86" s="164">
        <f t="shared" si="60"/>
        <v>0</v>
      </c>
      <c r="AO86" s="164">
        <f t="shared" si="60"/>
        <v>0</v>
      </c>
      <c r="AP86" s="164">
        <f t="shared" si="60"/>
        <v>0</v>
      </c>
      <c r="AQ86" s="164">
        <f t="shared" si="60"/>
        <v>0</v>
      </c>
      <c r="AR86" s="164">
        <f t="shared" si="60"/>
        <v>0</v>
      </c>
      <c r="AS86" s="164">
        <f t="shared" si="60"/>
        <v>0</v>
      </c>
      <c r="AT86" s="164">
        <f t="shared" si="60"/>
        <v>0</v>
      </c>
      <c r="AU86" s="177">
        <f t="shared" si="63"/>
        <v>6350.0000000000018</v>
      </c>
    </row>
    <row r="87" spans="9:47" ht="15" thickBot="1" x14ac:dyDescent="0.4">
      <c r="I87" s="361"/>
      <c r="J87" s="69" t="str">
        <v>WA57103003</v>
      </c>
      <c r="K87" s="161">
        <f t="shared" si="61"/>
        <v>0</v>
      </c>
      <c r="L87" s="162">
        <f t="shared" si="61"/>
        <v>0</v>
      </c>
      <c r="M87" s="162">
        <f t="shared" si="61"/>
        <v>0</v>
      </c>
      <c r="N87" s="162">
        <f t="shared" si="61"/>
        <v>0</v>
      </c>
      <c r="O87" s="162">
        <f t="shared" si="61"/>
        <v>0</v>
      </c>
      <c r="P87" s="162">
        <f t="shared" si="61"/>
        <v>0</v>
      </c>
      <c r="Q87" s="161">
        <f t="shared" si="61"/>
        <v>0</v>
      </c>
      <c r="R87" s="162">
        <f t="shared" si="61"/>
        <v>15000</v>
      </c>
      <c r="S87" s="162">
        <f t="shared" si="61"/>
        <v>30000</v>
      </c>
      <c r="T87" s="162">
        <f t="shared" si="61"/>
        <v>30000</v>
      </c>
      <c r="U87" s="162">
        <f t="shared" si="62"/>
        <v>30000</v>
      </c>
      <c r="V87" s="162">
        <f t="shared" si="62"/>
        <v>28000</v>
      </c>
      <c r="W87" s="163">
        <f t="shared" si="62"/>
        <v>25000</v>
      </c>
      <c r="X87" s="162">
        <f t="shared" si="62"/>
        <v>15000</v>
      </c>
      <c r="Y87" s="162">
        <f t="shared" si="62"/>
        <v>0</v>
      </c>
      <c r="Z87" s="162">
        <f t="shared" si="62"/>
        <v>0</v>
      </c>
      <c r="AA87" s="162">
        <f t="shared" si="62"/>
        <v>0</v>
      </c>
      <c r="AB87" s="164">
        <f t="shared" si="62"/>
        <v>0</v>
      </c>
      <c r="AC87" s="164">
        <f t="shared" si="59"/>
        <v>0</v>
      </c>
      <c r="AD87" s="164">
        <f t="shared" si="59"/>
        <v>0</v>
      </c>
      <c r="AE87" s="164">
        <f t="shared" si="59"/>
        <v>0</v>
      </c>
      <c r="AF87" s="164">
        <f t="shared" si="59"/>
        <v>0</v>
      </c>
      <c r="AG87" s="164">
        <f t="shared" si="59"/>
        <v>0</v>
      </c>
      <c r="AH87" s="164">
        <f t="shared" si="59"/>
        <v>0</v>
      </c>
      <c r="AI87" s="164">
        <f t="shared" si="59"/>
        <v>0</v>
      </c>
      <c r="AJ87" s="164">
        <f t="shared" si="59"/>
        <v>0</v>
      </c>
      <c r="AK87" s="164">
        <f t="shared" si="59"/>
        <v>0</v>
      </c>
      <c r="AL87" s="164">
        <f t="shared" si="59"/>
        <v>0</v>
      </c>
      <c r="AM87" s="164">
        <f t="shared" si="60"/>
        <v>0</v>
      </c>
      <c r="AN87" s="164">
        <f t="shared" si="60"/>
        <v>0</v>
      </c>
      <c r="AO87" s="164">
        <f t="shared" si="60"/>
        <v>0</v>
      </c>
      <c r="AP87" s="164">
        <f t="shared" si="60"/>
        <v>0</v>
      </c>
      <c r="AQ87" s="164">
        <f t="shared" si="60"/>
        <v>0</v>
      </c>
      <c r="AR87" s="164">
        <f t="shared" si="60"/>
        <v>0</v>
      </c>
      <c r="AS87" s="164">
        <f t="shared" si="60"/>
        <v>0</v>
      </c>
      <c r="AT87" s="164">
        <f t="shared" si="60"/>
        <v>0</v>
      </c>
      <c r="AU87" s="177">
        <f t="shared" si="63"/>
        <v>173000</v>
      </c>
    </row>
    <row r="88" spans="9:47" ht="15" thickBot="1" x14ac:dyDescent="0.4">
      <c r="I88" s="361"/>
      <c r="J88" s="69" t="str">
        <v>WA57103004</v>
      </c>
      <c r="K88" s="161">
        <f t="shared" si="61"/>
        <v>0</v>
      </c>
      <c r="L88" s="162">
        <f t="shared" si="61"/>
        <v>0</v>
      </c>
      <c r="M88" s="162">
        <f t="shared" si="61"/>
        <v>0</v>
      </c>
      <c r="N88" s="162">
        <f t="shared" si="61"/>
        <v>0</v>
      </c>
      <c r="O88" s="162">
        <f t="shared" si="61"/>
        <v>0</v>
      </c>
      <c r="P88" s="162">
        <f t="shared" si="61"/>
        <v>0</v>
      </c>
      <c r="Q88" s="161">
        <f t="shared" si="61"/>
        <v>0</v>
      </c>
      <c r="R88" s="162">
        <f t="shared" si="61"/>
        <v>0</v>
      </c>
      <c r="S88" s="162">
        <f t="shared" si="61"/>
        <v>0</v>
      </c>
      <c r="T88" s="162">
        <f t="shared" si="61"/>
        <v>0</v>
      </c>
      <c r="U88" s="162">
        <f t="shared" si="62"/>
        <v>0</v>
      </c>
      <c r="V88" s="162">
        <f t="shared" si="62"/>
        <v>0</v>
      </c>
      <c r="W88" s="163">
        <f t="shared" si="62"/>
        <v>0</v>
      </c>
      <c r="X88" s="162">
        <f t="shared" si="62"/>
        <v>0</v>
      </c>
      <c r="Y88" s="162">
        <f t="shared" si="62"/>
        <v>0</v>
      </c>
      <c r="Z88" s="162">
        <f t="shared" si="62"/>
        <v>0</v>
      </c>
      <c r="AA88" s="162">
        <f t="shared" si="62"/>
        <v>0</v>
      </c>
      <c r="AB88" s="164">
        <f t="shared" si="62"/>
        <v>0</v>
      </c>
      <c r="AC88" s="164">
        <f t="shared" si="59"/>
        <v>0</v>
      </c>
      <c r="AD88" s="164">
        <f t="shared" si="59"/>
        <v>0</v>
      </c>
      <c r="AE88" s="164">
        <f t="shared" si="59"/>
        <v>10000</v>
      </c>
      <c r="AF88" s="164">
        <f t="shared" si="59"/>
        <v>10000</v>
      </c>
      <c r="AG88" s="164">
        <f t="shared" si="59"/>
        <v>0</v>
      </c>
      <c r="AH88" s="164">
        <f t="shared" si="59"/>
        <v>0</v>
      </c>
      <c r="AI88" s="164">
        <f t="shared" si="59"/>
        <v>0</v>
      </c>
      <c r="AJ88" s="164">
        <f t="shared" si="59"/>
        <v>0</v>
      </c>
      <c r="AK88" s="164">
        <f t="shared" si="59"/>
        <v>0</v>
      </c>
      <c r="AL88" s="164">
        <f t="shared" si="59"/>
        <v>0</v>
      </c>
      <c r="AM88" s="164">
        <f t="shared" si="60"/>
        <v>0</v>
      </c>
      <c r="AN88" s="164">
        <f t="shared" si="60"/>
        <v>0</v>
      </c>
      <c r="AO88" s="164">
        <f t="shared" si="60"/>
        <v>0</v>
      </c>
      <c r="AP88" s="164">
        <f t="shared" si="60"/>
        <v>0</v>
      </c>
      <c r="AQ88" s="164">
        <f t="shared" si="60"/>
        <v>0</v>
      </c>
      <c r="AR88" s="164">
        <f t="shared" si="60"/>
        <v>0</v>
      </c>
      <c r="AS88" s="164">
        <f t="shared" si="60"/>
        <v>0</v>
      </c>
      <c r="AT88" s="164">
        <f t="shared" si="60"/>
        <v>0</v>
      </c>
      <c r="AU88" s="177">
        <f t="shared" si="63"/>
        <v>20000</v>
      </c>
    </row>
    <row r="89" spans="9:47" ht="15" thickBot="1" x14ac:dyDescent="0.4">
      <c r="I89" s="361"/>
      <c r="J89" s="69" t="str">
        <v>WA57103007</v>
      </c>
      <c r="K89" s="161">
        <f t="shared" si="61"/>
        <v>0</v>
      </c>
      <c r="L89" s="162">
        <f t="shared" si="61"/>
        <v>0</v>
      </c>
      <c r="M89" s="162">
        <f t="shared" si="61"/>
        <v>0</v>
      </c>
      <c r="N89" s="162">
        <f t="shared" si="61"/>
        <v>0</v>
      </c>
      <c r="O89" s="162">
        <f t="shared" si="61"/>
        <v>23200</v>
      </c>
      <c r="P89" s="162">
        <f t="shared" si="61"/>
        <v>0</v>
      </c>
      <c r="Q89" s="161">
        <f t="shared" si="61"/>
        <v>0</v>
      </c>
      <c r="R89" s="162">
        <f t="shared" si="61"/>
        <v>0</v>
      </c>
      <c r="S89" s="162">
        <f t="shared" si="61"/>
        <v>0</v>
      </c>
      <c r="T89" s="162">
        <f t="shared" si="61"/>
        <v>100000</v>
      </c>
      <c r="U89" s="162">
        <f t="shared" si="62"/>
        <v>268670.28359999997</v>
      </c>
      <c r="V89" s="162">
        <f t="shared" si="62"/>
        <v>0</v>
      </c>
      <c r="W89" s="163">
        <f t="shared" si="62"/>
        <v>0</v>
      </c>
      <c r="X89" s="162">
        <f t="shared" si="62"/>
        <v>0</v>
      </c>
      <c r="Y89" s="162">
        <f t="shared" si="62"/>
        <v>0</v>
      </c>
      <c r="Z89" s="162">
        <f t="shared" si="62"/>
        <v>0</v>
      </c>
      <c r="AA89" s="162">
        <f t="shared" si="62"/>
        <v>0</v>
      </c>
      <c r="AB89" s="164">
        <f t="shared" si="62"/>
        <v>0</v>
      </c>
      <c r="AC89" s="164">
        <f t="shared" si="59"/>
        <v>0</v>
      </c>
      <c r="AD89" s="164">
        <f t="shared" si="59"/>
        <v>0</v>
      </c>
      <c r="AE89" s="164">
        <f t="shared" si="59"/>
        <v>0</v>
      </c>
      <c r="AF89" s="164">
        <f t="shared" si="59"/>
        <v>256179.9</v>
      </c>
      <c r="AG89" s="164">
        <f t="shared" si="59"/>
        <v>597753.11</v>
      </c>
      <c r="AH89" s="164">
        <f t="shared" si="59"/>
        <v>597753.11</v>
      </c>
      <c r="AI89" s="164">
        <f t="shared" si="59"/>
        <v>256179.91</v>
      </c>
      <c r="AJ89" s="164">
        <f t="shared" si="59"/>
        <v>156709.72371199983</v>
      </c>
      <c r="AK89" s="164">
        <f t="shared" si="59"/>
        <v>0</v>
      </c>
      <c r="AL89" s="164">
        <f t="shared" si="59"/>
        <v>0</v>
      </c>
      <c r="AM89" s="164">
        <f t="shared" si="60"/>
        <v>0</v>
      </c>
      <c r="AN89" s="164">
        <f t="shared" si="60"/>
        <v>0</v>
      </c>
      <c r="AO89" s="164">
        <f t="shared" si="60"/>
        <v>0</v>
      </c>
      <c r="AP89" s="164">
        <f t="shared" si="60"/>
        <v>0</v>
      </c>
      <c r="AQ89" s="164">
        <f t="shared" si="60"/>
        <v>0</v>
      </c>
      <c r="AR89" s="164">
        <f t="shared" si="60"/>
        <v>0</v>
      </c>
      <c r="AS89" s="164">
        <f t="shared" si="60"/>
        <v>0</v>
      </c>
      <c r="AT89" s="164">
        <f t="shared" si="60"/>
        <v>0</v>
      </c>
      <c r="AU89" s="177">
        <f>SUM(K89:AT89)</f>
        <v>2256446.0373120001</v>
      </c>
    </row>
    <row r="90" spans="9:47" ht="15" thickBot="1" x14ac:dyDescent="0.4">
      <c r="I90" s="361"/>
      <c r="J90" s="69" t="str">
        <v>WA57103009</v>
      </c>
      <c r="K90" s="161">
        <f t="shared" si="61"/>
        <v>0</v>
      </c>
      <c r="L90" s="162">
        <f t="shared" si="61"/>
        <v>0</v>
      </c>
      <c r="M90" s="162">
        <f t="shared" si="61"/>
        <v>0</v>
      </c>
      <c r="N90" s="162">
        <f t="shared" si="61"/>
        <v>0</v>
      </c>
      <c r="O90" s="162">
        <f t="shared" si="61"/>
        <v>480</v>
      </c>
      <c r="P90" s="162">
        <f t="shared" si="61"/>
        <v>480</v>
      </c>
      <c r="Q90" s="161">
        <f t="shared" si="61"/>
        <v>480</v>
      </c>
      <c r="R90" s="162">
        <f t="shared" si="61"/>
        <v>480</v>
      </c>
      <c r="S90" s="162">
        <f t="shared" si="61"/>
        <v>480</v>
      </c>
      <c r="T90" s="162">
        <f t="shared" si="61"/>
        <v>480</v>
      </c>
      <c r="U90" s="162">
        <f t="shared" si="62"/>
        <v>1766.67</v>
      </c>
      <c r="V90" s="162">
        <f t="shared" si="62"/>
        <v>1766.67</v>
      </c>
      <c r="W90" s="163">
        <f t="shared" si="62"/>
        <v>1766.67</v>
      </c>
      <c r="X90" s="162">
        <f t="shared" si="62"/>
        <v>0</v>
      </c>
      <c r="Y90" s="162">
        <f t="shared" si="62"/>
        <v>0</v>
      </c>
      <c r="Z90" s="162">
        <f t="shared" si="62"/>
        <v>0</v>
      </c>
      <c r="AA90" s="162">
        <f t="shared" si="62"/>
        <v>0</v>
      </c>
      <c r="AB90" s="164">
        <f t="shared" si="62"/>
        <v>0</v>
      </c>
      <c r="AC90" s="164">
        <f t="shared" si="59"/>
        <v>0</v>
      </c>
      <c r="AD90" s="164">
        <f t="shared" si="59"/>
        <v>0</v>
      </c>
      <c r="AE90" s="164">
        <f t="shared" si="59"/>
        <v>0</v>
      </c>
      <c r="AF90" s="164">
        <f t="shared" si="59"/>
        <v>7500</v>
      </c>
      <c r="AG90" s="164">
        <f t="shared" si="59"/>
        <v>7500</v>
      </c>
      <c r="AH90" s="164">
        <f t="shared" si="59"/>
        <v>7500</v>
      </c>
      <c r="AI90" s="164">
        <f t="shared" si="59"/>
        <v>7500</v>
      </c>
      <c r="AJ90" s="164">
        <f t="shared" si="59"/>
        <v>0</v>
      </c>
      <c r="AK90" s="164">
        <f t="shared" si="59"/>
        <v>0</v>
      </c>
      <c r="AL90" s="164">
        <f t="shared" si="59"/>
        <v>0</v>
      </c>
      <c r="AM90" s="164">
        <f t="shared" si="60"/>
        <v>0</v>
      </c>
      <c r="AN90" s="164">
        <f t="shared" si="60"/>
        <v>0</v>
      </c>
      <c r="AO90" s="164">
        <f t="shared" si="60"/>
        <v>0</v>
      </c>
      <c r="AP90" s="164">
        <f t="shared" si="60"/>
        <v>0</v>
      </c>
      <c r="AQ90" s="164">
        <f t="shared" si="60"/>
        <v>0</v>
      </c>
      <c r="AR90" s="164">
        <f t="shared" si="60"/>
        <v>0</v>
      </c>
      <c r="AS90" s="164">
        <f t="shared" si="60"/>
        <v>0</v>
      </c>
      <c r="AT90" s="164">
        <f t="shared" si="60"/>
        <v>0</v>
      </c>
      <c r="AU90" s="177">
        <f t="shared" si="63"/>
        <v>38180.01</v>
      </c>
    </row>
    <row r="91" spans="9:47" ht="15" thickBot="1" x14ac:dyDescent="0.4">
      <c r="I91" s="361"/>
      <c r="J91" s="69" t="str">
        <v>WA57104001</v>
      </c>
      <c r="K91" s="161">
        <f t="shared" si="61"/>
        <v>0</v>
      </c>
      <c r="L91" s="162">
        <f t="shared" si="61"/>
        <v>0</v>
      </c>
      <c r="M91" s="162">
        <f t="shared" si="61"/>
        <v>0</v>
      </c>
      <c r="N91" s="162">
        <f t="shared" si="61"/>
        <v>0</v>
      </c>
      <c r="O91" s="162">
        <f t="shared" si="61"/>
        <v>0</v>
      </c>
      <c r="P91" s="162">
        <f t="shared" si="61"/>
        <v>0</v>
      </c>
      <c r="Q91" s="161">
        <f t="shared" si="61"/>
        <v>0</v>
      </c>
      <c r="R91" s="162">
        <f t="shared" si="61"/>
        <v>0</v>
      </c>
      <c r="S91" s="162">
        <f t="shared" si="61"/>
        <v>0</v>
      </c>
      <c r="T91" s="162">
        <f t="shared" si="61"/>
        <v>0</v>
      </c>
      <c r="U91" s="162">
        <f t="shared" si="62"/>
        <v>0</v>
      </c>
      <c r="V91" s="162">
        <f t="shared" si="62"/>
        <v>0</v>
      </c>
      <c r="W91" s="163">
        <f t="shared" si="62"/>
        <v>0</v>
      </c>
      <c r="X91" s="162">
        <f t="shared" si="62"/>
        <v>0</v>
      </c>
      <c r="Y91" s="162">
        <f t="shared" si="62"/>
        <v>0</v>
      </c>
      <c r="Z91" s="162">
        <f t="shared" si="62"/>
        <v>0</v>
      </c>
      <c r="AA91" s="162">
        <f t="shared" si="62"/>
        <v>0</v>
      </c>
      <c r="AB91" s="164">
        <f t="shared" si="62"/>
        <v>0</v>
      </c>
      <c r="AC91" s="164">
        <f t="shared" si="59"/>
        <v>0</v>
      </c>
      <c r="AD91" s="164">
        <f t="shared" si="59"/>
        <v>0</v>
      </c>
      <c r="AE91" s="164">
        <f t="shared" si="59"/>
        <v>0</v>
      </c>
      <c r="AF91" s="164">
        <f t="shared" si="59"/>
        <v>0</v>
      </c>
      <c r="AG91" s="164">
        <f t="shared" si="59"/>
        <v>0</v>
      </c>
      <c r="AH91" s="164">
        <f t="shared" si="59"/>
        <v>0</v>
      </c>
      <c r="AI91" s="164">
        <f t="shared" si="59"/>
        <v>2400</v>
      </c>
      <c r="AJ91" s="164">
        <f t="shared" si="59"/>
        <v>6000</v>
      </c>
      <c r="AK91" s="164">
        <f t="shared" si="59"/>
        <v>9600</v>
      </c>
      <c r="AL91" s="164">
        <f t="shared" si="59"/>
        <v>9600</v>
      </c>
      <c r="AM91" s="164">
        <f t="shared" si="60"/>
        <v>8400</v>
      </c>
      <c r="AN91" s="164">
        <f t="shared" si="60"/>
        <v>6000</v>
      </c>
      <c r="AO91" s="164">
        <f t="shared" si="60"/>
        <v>0</v>
      </c>
      <c r="AP91" s="164">
        <f t="shared" si="60"/>
        <v>0</v>
      </c>
      <c r="AQ91" s="164">
        <f t="shared" si="60"/>
        <v>0</v>
      </c>
      <c r="AR91" s="164">
        <f t="shared" si="60"/>
        <v>0</v>
      </c>
      <c r="AS91" s="164">
        <f t="shared" si="60"/>
        <v>0</v>
      </c>
      <c r="AT91" s="164">
        <f t="shared" si="60"/>
        <v>0</v>
      </c>
      <c r="AU91" s="177">
        <f t="shared" si="63"/>
        <v>42000</v>
      </c>
    </row>
    <row r="92" spans="9:47" ht="15" thickBot="1" x14ac:dyDescent="0.4">
      <c r="I92" s="361"/>
      <c r="J92" s="69" t="str">
        <v>WA57104002</v>
      </c>
      <c r="K92" s="161">
        <f t="shared" si="61"/>
        <v>0</v>
      </c>
      <c r="L92" s="162">
        <f t="shared" si="61"/>
        <v>0</v>
      </c>
      <c r="M92" s="162">
        <f t="shared" si="61"/>
        <v>0</v>
      </c>
      <c r="N92" s="162">
        <f t="shared" si="61"/>
        <v>0</v>
      </c>
      <c r="O92" s="162">
        <f t="shared" si="61"/>
        <v>0</v>
      </c>
      <c r="P92" s="162">
        <f t="shared" si="61"/>
        <v>0</v>
      </c>
      <c r="Q92" s="161">
        <f t="shared" si="61"/>
        <v>0</v>
      </c>
      <c r="R92" s="162">
        <f t="shared" si="61"/>
        <v>0</v>
      </c>
      <c r="S92" s="162">
        <f t="shared" si="61"/>
        <v>0</v>
      </c>
      <c r="T92" s="162">
        <f t="shared" si="61"/>
        <v>0</v>
      </c>
      <c r="U92" s="162">
        <f t="shared" si="62"/>
        <v>0</v>
      </c>
      <c r="V92" s="162">
        <f t="shared" si="62"/>
        <v>0</v>
      </c>
      <c r="W92" s="163">
        <f t="shared" si="62"/>
        <v>0</v>
      </c>
      <c r="X92" s="162">
        <f t="shared" si="62"/>
        <v>0</v>
      </c>
      <c r="Y92" s="162">
        <f t="shared" si="62"/>
        <v>0</v>
      </c>
      <c r="Z92" s="162">
        <f t="shared" si="62"/>
        <v>0</v>
      </c>
      <c r="AA92" s="162">
        <f t="shared" si="62"/>
        <v>0</v>
      </c>
      <c r="AB92" s="164">
        <f t="shared" si="62"/>
        <v>0</v>
      </c>
      <c r="AC92" s="164">
        <f t="shared" si="59"/>
        <v>0</v>
      </c>
      <c r="AD92" s="164">
        <f t="shared" si="59"/>
        <v>0</v>
      </c>
      <c r="AE92" s="164">
        <f t="shared" si="59"/>
        <v>0</v>
      </c>
      <c r="AF92" s="164">
        <f t="shared" si="59"/>
        <v>0</v>
      </c>
      <c r="AG92" s="164">
        <f t="shared" si="59"/>
        <v>0</v>
      </c>
      <c r="AH92" s="164">
        <f t="shared" si="59"/>
        <v>0</v>
      </c>
      <c r="AI92" s="164">
        <f t="shared" si="59"/>
        <v>0</v>
      </c>
      <c r="AJ92" s="164">
        <f t="shared" si="59"/>
        <v>2000</v>
      </c>
      <c r="AK92" s="164">
        <f t="shared" si="59"/>
        <v>1000</v>
      </c>
      <c r="AL92" s="164">
        <f t="shared" si="59"/>
        <v>1000</v>
      </c>
      <c r="AM92" s="164">
        <f t="shared" si="60"/>
        <v>0</v>
      </c>
      <c r="AN92" s="164">
        <f t="shared" si="60"/>
        <v>0</v>
      </c>
      <c r="AO92" s="164">
        <f t="shared" si="60"/>
        <v>0</v>
      </c>
      <c r="AP92" s="164">
        <f t="shared" si="60"/>
        <v>0</v>
      </c>
      <c r="AQ92" s="164">
        <f t="shared" si="60"/>
        <v>0</v>
      </c>
      <c r="AR92" s="164">
        <f t="shared" si="60"/>
        <v>0</v>
      </c>
      <c r="AS92" s="164">
        <f t="shared" si="60"/>
        <v>0</v>
      </c>
      <c r="AT92" s="164">
        <f t="shared" si="60"/>
        <v>0</v>
      </c>
      <c r="AU92" s="177">
        <f t="shared" si="63"/>
        <v>4000</v>
      </c>
    </row>
    <row r="93" spans="9:47" ht="15" thickBot="1" x14ac:dyDescent="0.4">
      <c r="I93" s="361"/>
      <c r="J93" s="69" t="str">
        <v>WA57100000</v>
      </c>
      <c r="K93" s="161">
        <f t="shared" si="61"/>
        <v>0</v>
      </c>
      <c r="L93" s="162">
        <f t="shared" si="61"/>
        <v>0</v>
      </c>
      <c r="M93" s="162">
        <f t="shared" si="61"/>
        <v>0</v>
      </c>
      <c r="N93" s="162">
        <f t="shared" si="61"/>
        <v>0</v>
      </c>
      <c r="O93" s="162">
        <f t="shared" si="61"/>
        <v>0</v>
      </c>
      <c r="P93" s="162">
        <f t="shared" si="61"/>
        <v>0</v>
      </c>
      <c r="Q93" s="161">
        <f t="shared" si="61"/>
        <v>0</v>
      </c>
      <c r="R93" s="162">
        <f t="shared" si="61"/>
        <v>0</v>
      </c>
      <c r="S93" s="162">
        <f t="shared" si="61"/>
        <v>0</v>
      </c>
      <c r="T93" s="162">
        <f t="shared" si="61"/>
        <v>289666.59906840004</v>
      </c>
      <c r="U93" s="162">
        <f t="shared" si="62"/>
        <v>0</v>
      </c>
      <c r="V93" s="162">
        <f t="shared" si="62"/>
        <v>0</v>
      </c>
      <c r="W93" s="163">
        <f t="shared" si="62"/>
        <v>0</v>
      </c>
      <c r="X93" s="162">
        <f t="shared" si="62"/>
        <v>0</v>
      </c>
      <c r="Y93" s="162">
        <f t="shared" si="62"/>
        <v>0</v>
      </c>
      <c r="Z93" s="162">
        <f t="shared" si="62"/>
        <v>289666.59906840004</v>
      </c>
      <c r="AA93" s="162">
        <f t="shared" si="62"/>
        <v>0</v>
      </c>
      <c r="AB93" s="164">
        <f t="shared" si="62"/>
        <v>0</v>
      </c>
      <c r="AC93" s="164">
        <f t="shared" si="59"/>
        <v>0</v>
      </c>
      <c r="AD93" s="164">
        <f t="shared" si="59"/>
        <v>0</v>
      </c>
      <c r="AE93" s="164">
        <f t="shared" si="59"/>
        <v>0</v>
      </c>
      <c r="AF93" s="164">
        <f t="shared" si="59"/>
        <v>0</v>
      </c>
      <c r="AG93" s="164">
        <f t="shared" si="59"/>
        <v>96555.533022799995</v>
      </c>
      <c r="AH93" s="164">
        <f t="shared" si="59"/>
        <v>96555.533022799995</v>
      </c>
      <c r="AI93" s="164">
        <f t="shared" si="59"/>
        <v>0</v>
      </c>
      <c r="AJ93" s="164">
        <f t="shared" si="59"/>
        <v>0</v>
      </c>
      <c r="AK93" s="164">
        <f t="shared" si="59"/>
        <v>0</v>
      </c>
      <c r="AL93" s="164">
        <f t="shared" si="59"/>
        <v>0</v>
      </c>
      <c r="AM93" s="164">
        <f t="shared" si="60"/>
        <v>0</v>
      </c>
      <c r="AN93" s="164">
        <f t="shared" si="60"/>
        <v>0</v>
      </c>
      <c r="AO93" s="164">
        <f t="shared" si="60"/>
        <v>0</v>
      </c>
      <c r="AP93" s="164">
        <f t="shared" si="60"/>
        <v>0</v>
      </c>
      <c r="AQ93" s="164">
        <f t="shared" si="60"/>
        <v>0</v>
      </c>
      <c r="AR93" s="164">
        <f t="shared" si="60"/>
        <v>0</v>
      </c>
      <c r="AS93" s="164">
        <f t="shared" si="60"/>
        <v>0</v>
      </c>
      <c r="AT93" s="164">
        <f t="shared" si="60"/>
        <v>0</v>
      </c>
      <c r="AU93" s="177">
        <f t="shared" si="63"/>
        <v>772444.26418240007</v>
      </c>
    </row>
    <row r="94" spans="9:47" ht="15" thickBot="1" x14ac:dyDescent="0.4">
      <c r="I94" s="361"/>
      <c r="J94" s="160">
        <v>0</v>
      </c>
      <c r="K94" s="161">
        <f t="shared" si="61"/>
        <v>0</v>
      </c>
      <c r="L94" s="162">
        <f t="shared" si="61"/>
        <v>0</v>
      </c>
      <c r="M94" s="162">
        <f t="shared" si="61"/>
        <v>0</v>
      </c>
      <c r="N94" s="162">
        <f t="shared" si="61"/>
        <v>0</v>
      </c>
      <c r="O94" s="162">
        <f t="shared" si="61"/>
        <v>0</v>
      </c>
      <c r="P94" s="162">
        <f t="shared" si="61"/>
        <v>0</v>
      </c>
      <c r="Q94" s="161">
        <f t="shared" si="61"/>
        <v>0</v>
      </c>
      <c r="R94" s="162">
        <f t="shared" si="61"/>
        <v>0</v>
      </c>
      <c r="S94" s="162">
        <f t="shared" si="61"/>
        <v>0</v>
      </c>
      <c r="T94" s="162">
        <f t="shared" si="61"/>
        <v>0</v>
      </c>
      <c r="U94" s="162">
        <f t="shared" si="62"/>
        <v>0</v>
      </c>
      <c r="V94" s="162">
        <f t="shared" si="62"/>
        <v>0</v>
      </c>
      <c r="W94" s="163">
        <f t="shared" si="62"/>
        <v>0</v>
      </c>
      <c r="X94" s="162">
        <f t="shared" si="62"/>
        <v>0</v>
      </c>
      <c r="Y94" s="162">
        <f t="shared" si="62"/>
        <v>0</v>
      </c>
      <c r="Z94" s="162">
        <f t="shared" si="62"/>
        <v>0</v>
      </c>
      <c r="AA94" s="162">
        <f t="shared" si="62"/>
        <v>0</v>
      </c>
      <c r="AB94" s="164">
        <f t="shared" si="62"/>
        <v>0</v>
      </c>
      <c r="AC94" s="164">
        <f t="shared" si="59"/>
        <v>0</v>
      </c>
      <c r="AD94" s="164">
        <f t="shared" si="59"/>
        <v>0</v>
      </c>
      <c r="AE94" s="164">
        <f t="shared" si="59"/>
        <v>0</v>
      </c>
      <c r="AF94" s="164">
        <f t="shared" si="59"/>
        <v>0</v>
      </c>
      <c r="AG94" s="164">
        <f t="shared" si="59"/>
        <v>0</v>
      </c>
      <c r="AH94" s="164">
        <f t="shared" si="59"/>
        <v>0</v>
      </c>
      <c r="AI94" s="164">
        <f t="shared" si="59"/>
        <v>0</v>
      </c>
      <c r="AJ94" s="164">
        <f t="shared" si="59"/>
        <v>0</v>
      </c>
      <c r="AK94" s="164">
        <f t="shared" si="59"/>
        <v>0</v>
      </c>
      <c r="AL94" s="164">
        <f t="shared" si="59"/>
        <v>0</v>
      </c>
      <c r="AM94" s="164">
        <f t="shared" si="60"/>
        <v>0</v>
      </c>
      <c r="AN94" s="164">
        <f t="shared" si="60"/>
        <v>0</v>
      </c>
      <c r="AO94" s="164">
        <f t="shared" si="60"/>
        <v>0</v>
      </c>
      <c r="AP94" s="164">
        <f t="shared" si="60"/>
        <v>0</v>
      </c>
      <c r="AQ94" s="164">
        <f t="shared" si="60"/>
        <v>0</v>
      </c>
      <c r="AR94" s="164">
        <f t="shared" si="60"/>
        <v>0</v>
      </c>
      <c r="AS94" s="164">
        <f t="shared" si="60"/>
        <v>0</v>
      </c>
      <c r="AT94" s="164">
        <f t="shared" si="60"/>
        <v>0</v>
      </c>
      <c r="AU94" s="177">
        <f t="shared" si="63"/>
        <v>0</v>
      </c>
    </row>
    <row r="95" spans="9:47" ht="15" thickBot="1" x14ac:dyDescent="0.4">
      <c r="I95" s="362"/>
      <c r="J95" s="159"/>
      <c r="K95" s="174">
        <f t="shared" ref="K95:L95" si="64">SUM(K81:K94)</f>
        <v>0</v>
      </c>
      <c r="L95" s="174">
        <f t="shared" si="64"/>
        <v>0</v>
      </c>
      <c r="M95" s="174">
        <f>SUM(M81:M94)</f>
        <v>20160</v>
      </c>
      <c r="N95" s="174">
        <f t="shared" ref="N95:AT95" si="65">SUM(N81:N94)</f>
        <v>68160</v>
      </c>
      <c r="O95" s="174">
        <f t="shared" si="65"/>
        <v>89515</v>
      </c>
      <c r="P95" s="174">
        <f t="shared" si="65"/>
        <v>101473.64</v>
      </c>
      <c r="Q95" s="174">
        <f t="shared" si="65"/>
        <v>78415</v>
      </c>
      <c r="R95" s="174">
        <f t="shared" si="65"/>
        <v>79236.36</v>
      </c>
      <c r="S95" s="174">
        <f t="shared" si="65"/>
        <v>58145</v>
      </c>
      <c r="T95" s="174">
        <f t="shared" si="65"/>
        <v>448601.59906840004</v>
      </c>
      <c r="U95" s="174">
        <f t="shared" si="65"/>
        <v>320596.95359999995</v>
      </c>
      <c r="V95" s="174">
        <f t="shared" si="65"/>
        <v>49926.67</v>
      </c>
      <c r="W95" s="174">
        <f t="shared" si="65"/>
        <v>46926.67</v>
      </c>
      <c r="X95" s="174">
        <f t="shared" si="65"/>
        <v>37560</v>
      </c>
      <c r="Y95" s="174">
        <f t="shared" si="65"/>
        <v>26160</v>
      </c>
      <c r="Z95" s="174">
        <f t="shared" si="65"/>
        <v>314626.59906840004</v>
      </c>
      <c r="AA95" s="174">
        <f t="shared" si="65"/>
        <v>26160</v>
      </c>
      <c r="AB95" s="174">
        <f t="shared" si="65"/>
        <v>22560</v>
      </c>
      <c r="AC95" s="174">
        <f t="shared" si="65"/>
        <v>22560</v>
      </c>
      <c r="AD95" s="174">
        <f t="shared" si="65"/>
        <v>21360</v>
      </c>
      <c r="AE95" s="174">
        <f t="shared" si="65"/>
        <v>32560</v>
      </c>
      <c r="AF95" s="174">
        <f t="shared" si="65"/>
        <v>310498.23333333334</v>
      </c>
      <c r="AG95" s="174">
        <f t="shared" si="65"/>
        <v>741026.97635613335</v>
      </c>
      <c r="AH95" s="174">
        <f t="shared" si="65"/>
        <v>739826.97635613335</v>
      </c>
      <c r="AI95" s="174">
        <f t="shared" si="65"/>
        <v>301698.24333333335</v>
      </c>
      <c r="AJ95" s="174">
        <f t="shared" si="65"/>
        <v>190728.05704533317</v>
      </c>
      <c r="AK95" s="174">
        <f t="shared" si="65"/>
        <v>31818.333333333332</v>
      </c>
      <c r="AL95" s="174">
        <f t="shared" si="65"/>
        <v>28360</v>
      </c>
      <c r="AM95" s="174">
        <f t="shared" si="65"/>
        <v>20160</v>
      </c>
      <c r="AN95" s="174">
        <f t="shared" si="65"/>
        <v>9480</v>
      </c>
      <c r="AO95" s="174">
        <f t="shared" si="65"/>
        <v>0</v>
      </c>
      <c r="AP95" s="174">
        <f t="shared" si="65"/>
        <v>0</v>
      </c>
      <c r="AQ95" s="174">
        <f t="shared" si="65"/>
        <v>0</v>
      </c>
      <c r="AR95" s="174">
        <f t="shared" si="65"/>
        <v>0</v>
      </c>
      <c r="AS95" s="174">
        <f t="shared" si="65"/>
        <v>0</v>
      </c>
      <c r="AT95" s="174">
        <f t="shared" si="65"/>
        <v>0</v>
      </c>
      <c r="AU95" s="179">
        <f>SUM(AU81:AU94)</f>
        <v>4238300.3114943998</v>
      </c>
    </row>
    <row r="96" spans="9:47" ht="15" thickBot="1" x14ac:dyDescent="0.4"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80"/>
    </row>
    <row r="97" spans="9:47" x14ac:dyDescent="0.35">
      <c r="I97" s="360" t="s">
        <v>88</v>
      </c>
      <c r="J97" s="356" t="s">
        <v>86</v>
      </c>
      <c r="K97" s="142" t="s">
        <v>27</v>
      </c>
      <c r="L97" s="29" t="s">
        <v>5</v>
      </c>
      <c r="M97" s="29" t="s">
        <v>28</v>
      </c>
      <c r="N97" s="29" t="s">
        <v>29</v>
      </c>
      <c r="O97" s="29" t="s">
        <v>30</v>
      </c>
      <c r="P97" s="30" t="s">
        <v>31</v>
      </c>
      <c r="Q97" s="31" t="s">
        <v>32</v>
      </c>
      <c r="R97" s="32" t="s">
        <v>33</v>
      </c>
      <c r="S97" s="32" t="s">
        <v>34</v>
      </c>
      <c r="T97" s="32" t="s">
        <v>35</v>
      </c>
      <c r="U97" s="32" t="s">
        <v>36</v>
      </c>
      <c r="V97" s="33" t="s">
        <v>37</v>
      </c>
      <c r="W97" s="34" t="s">
        <v>38</v>
      </c>
      <c r="X97" s="32" t="s">
        <v>39</v>
      </c>
      <c r="Y97" s="32" t="s">
        <v>40</v>
      </c>
      <c r="Z97" s="32" t="s">
        <v>41</v>
      </c>
      <c r="AA97" s="32" t="s">
        <v>42</v>
      </c>
      <c r="AB97" s="35" t="s">
        <v>43</v>
      </c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358" t="s">
        <v>87</v>
      </c>
    </row>
    <row r="98" spans="9:47" ht="15" thickBot="1" x14ac:dyDescent="0.4">
      <c r="I98" s="361"/>
      <c r="J98" s="357"/>
      <c r="K98" s="152">
        <v>46023</v>
      </c>
      <c r="L98" s="153">
        <f>EDATE(K98,1)</f>
        <v>46054</v>
      </c>
      <c r="M98" s="153">
        <f t="shared" ref="M98" si="66">EDATE(L98,1)</f>
        <v>46082</v>
      </c>
      <c r="N98" s="153">
        <f t="shared" ref="N98" si="67">EDATE(M98,1)</f>
        <v>46113</v>
      </c>
      <c r="O98" s="153">
        <f t="shared" ref="O98" si="68">EDATE(N98,1)</f>
        <v>46143</v>
      </c>
      <c r="P98" s="154">
        <f t="shared" ref="P98" si="69">EDATE(O98,1)</f>
        <v>46174</v>
      </c>
      <c r="Q98" s="152">
        <f t="shared" ref="Q98" si="70">EDATE(P98,1)</f>
        <v>46204</v>
      </c>
      <c r="R98" s="153">
        <f t="shared" ref="R98" si="71">EDATE(Q98,1)</f>
        <v>46235</v>
      </c>
      <c r="S98" s="153">
        <f t="shared" ref="S98" si="72">EDATE(R98,1)</f>
        <v>46266</v>
      </c>
      <c r="T98" s="153">
        <f t="shared" ref="T98" si="73">EDATE(S98,1)</f>
        <v>46296</v>
      </c>
      <c r="U98" s="153">
        <f t="shared" ref="U98" si="74">EDATE(T98,1)</f>
        <v>46327</v>
      </c>
      <c r="V98" s="155">
        <f t="shared" ref="V98" si="75">EDATE(U98,1)</f>
        <v>46357</v>
      </c>
      <c r="W98" s="156">
        <f t="shared" ref="W98" si="76">EDATE(V98,1)</f>
        <v>46388</v>
      </c>
      <c r="X98" s="157">
        <f t="shared" ref="X98" si="77">EDATE(W98,1)</f>
        <v>46419</v>
      </c>
      <c r="Y98" s="157">
        <f t="shared" ref="Y98" si="78">EDATE(X98,1)</f>
        <v>46447</v>
      </c>
      <c r="Z98" s="157">
        <f t="shared" ref="Z98" si="79">EDATE(Y98,1)</f>
        <v>46478</v>
      </c>
      <c r="AA98" s="157">
        <f t="shared" ref="AA98" si="80">EDATE(Z98,1)</f>
        <v>46508</v>
      </c>
      <c r="AB98" s="158">
        <f t="shared" ref="AB98" si="81">EDATE(AA98,1)</f>
        <v>46539</v>
      </c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359"/>
    </row>
    <row r="99" spans="9:47" x14ac:dyDescent="0.35">
      <c r="I99" s="361"/>
      <c r="J99" s="69" t="str">
        <f t="shared" ref="J99:J106" si="82">J81</f>
        <v>WA57102001</v>
      </c>
      <c r="K99" s="176">
        <f t="shared" ref="K99:AB99" si="83">K81-K113</f>
        <v>0</v>
      </c>
      <c r="L99" s="162">
        <f t="shared" si="83"/>
        <v>0</v>
      </c>
      <c r="M99" s="162">
        <f t="shared" si="83"/>
        <v>18260</v>
      </c>
      <c r="N99" s="162">
        <f t="shared" si="83"/>
        <v>21260</v>
      </c>
      <c r="O99" s="162">
        <f t="shared" si="83"/>
        <v>18260</v>
      </c>
      <c r="P99" s="162">
        <f t="shared" si="83"/>
        <v>19460</v>
      </c>
      <c r="Q99" s="161">
        <f t="shared" si="83"/>
        <v>19460</v>
      </c>
      <c r="R99" s="162">
        <f t="shared" si="83"/>
        <v>20660</v>
      </c>
      <c r="S99" s="162">
        <f t="shared" si="83"/>
        <v>20660</v>
      </c>
      <c r="T99" s="162">
        <f t="shared" si="83"/>
        <v>25680</v>
      </c>
      <c r="U99" s="162">
        <f t="shared" si="83"/>
        <v>-1900</v>
      </c>
      <c r="V99" s="162">
        <f t="shared" si="83"/>
        <v>-1900</v>
      </c>
      <c r="W99" s="163">
        <f t="shared" si="83"/>
        <v>-1900</v>
      </c>
      <c r="X99" s="162">
        <f t="shared" si="83"/>
        <v>-1900</v>
      </c>
      <c r="Y99" s="162">
        <f t="shared" si="83"/>
        <v>0</v>
      </c>
      <c r="Z99" s="162">
        <f t="shared" si="83"/>
        <v>0</v>
      </c>
      <c r="AA99" s="162">
        <f t="shared" si="83"/>
        <v>0</v>
      </c>
      <c r="AB99" s="164">
        <f t="shared" si="83"/>
        <v>0</v>
      </c>
      <c r="AC99" s="165"/>
      <c r="AD99" s="165"/>
      <c r="AE99" s="165"/>
      <c r="AF99" s="165"/>
      <c r="AG99" s="165"/>
      <c r="AH99" s="165"/>
      <c r="AI99" s="165"/>
      <c r="AJ99" s="165"/>
      <c r="AK99" s="165"/>
      <c r="AL99" s="165"/>
      <c r="AM99" s="165"/>
      <c r="AN99" s="165"/>
      <c r="AO99" s="165"/>
      <c r="AP99" s="165"/>
      <c r="AQ99" s="165"/>
      <c r="AR99" s="165"/>
      <c r="AS99" s="165"/>
      <c r="AT99" s="165"/>
      <c r="AU99" s="177">
        <f t="shared" ref="AU99:AU108" si="84">SUM(K99:AB99)</f>
        <v>156100</v>
      </c>
    </row>
    <row r="100" spans="9:47" x14ac:dyDescent="0.35">
      <c r="I100" s="361"/>
      <c r="J100" s="69" t="str">
        <f t="shared" si="82"/>
        <v>WA57102002</v>
      </c>
      <c r="K100" s="176">
        <f t="shared" ref="K100:AB100" si="85">K82-K114</f>
        <v>0</v>
      </c>
      <c r="L100" s="167">
        <f t="shared" si="85"/>
        <v>0</v>
      </c>
      <c r="M100" s="167">
        <f t="shared" si="85"/>
        <v>0</v>
      </c>
      <c r="N100" s="167">
        <f t="shared" si="85"/>
        <v>0</v>
      </c>
      <c r="O100" s="167">
        <f t="shared" si="85"/>
        <v>0</v>
      </c>
      <c r="P100" s="167">
        <f t="shared" si="85"/>
        <v>13258.64</v>
      </c>
      <c r="Q100" s="166">
        <f t="shared" si="85"/>
        <v>0</v>
      </c>
      <c r="R100" s="167">
        <f t="shared" si="85"/>
        <v>9091.36</v>
      </c>
      <c r="S100" s="167">
        <f t="shared" si="85"/>
        <v>0</v>
      </c>
      <c r="T100" s="167">
        <f t="shared" si="85"/>
        <v>0</v>
      </c>
      <c r="U100" s="167">
        <f t="shared" si="85"/>
        <v>0</v>
      </c>
      <c r="V100" s="167">
        <f t="shared" si="85"/>
        <v>0</v>
      </c>
      <c r="W100" s="168">
        <f t="shared" si="85"/>
        <v>0</v>
      </c>
      <c r="X100" s="167">
        <f t="shared" si="85"/>
        <v>0</v>
      </c>
      <c r="Y100" s="167">
        <f t="shared" si="85"/>
        <v>0</v>
      </c>
      <c r="Z100" s="167">
        <f t="shared" si="85"/>
        <v>0</v>
      </c>
      <c r="AA100" s="167">
        <f t="shared" si="85"/>
        <v>0</v>
      </c>
      <c r="AB100" s="169">
        <f t="shared" si="85"/>
        <v>0</v>
      </c>
      <c r="AC100" s="165"/>
      <c r="AD100" s="165"/>
      <c r="AE100" s="165"/>
      <c r="AF100" s="165"/>
      <c r="AG100" s="165"/>
      <c r="AH100" s="165"/>
      <c r="AI100" s="165"/>
      <c r="AJ100" s="165"/>
      <c r="AK100" s="165"/>
      <c r="AL100" s="165"/>
      <c r="AM100" s="165"/>
      <c r="AN100" s="165"/>
      <c r="AO100" s="165"/>
      <c r="AP100" s="165"/>
      <c r="AQ100" s="165"/>
      <c r="AR100" s="165"/>
      <c r="AS100" s="165"/>
      <c r="AT100" s="165"/>
      <c r="AU100" s="177">
        <f t="shared" si="84"/>
        <v>22350</v>
      </c>
    </row>
    <row r="101" spans="9:47" x14ac:dyDescent="0.35">
      <c r="I101" s="361"/>
      <c r="J101" s="69" t="str">
        <f t="shared" si="82"/>
        <v>WA57102003</v>
      </c>
      <c r="K101" s="176">
        <f t="shared" ref="K101:AB101" si="86">K83-K115</f>
        <v>0</v>
      </c>
      <c r="L101" s="167">
        <f t="shared" si="86"/>
        <v>0</v>
      </c>
      <c r="M101" s="167">
        <f t="shared" si="86"/>
        <v>0</v>
      </c>
      <c r="N101" s="167">
        <f t="shared" si="86"/>
        <v>45000</v>
      </c>
      <c r="O101" s="167">
        <f t="shared" si="86"/>
        <v>35000</v>
      </c>
      <c r="P101" s="167">
        <f t="shared" si="86"/>
        <v>55000</v>
      </c>
      <c r="Q101" s="166">
        <f t="shared" si="86"/>
        <v>55000</v>
      </c>
      <c r="R101" s="167">
        <f t="shared" si="86"/>
        <v>27000</v>
      </c>
      <c r="S101" s="167">
        <f t="shared" si="86"/>
        <v>0</v>
      </c>
      <c r="T101" s="167">
        <f t="shared" si="86"/>
        <v>0</v>
      </c>
      <c r="U101" s="167">
        <f t="shared" si="86"/>
        <v>0</v>
      </c>
      <c r="V101" s="167">
        <f t="shared" si="86"/>
        <v>0</v>
      </c>
      <c r="W101" s="168">
        <f t="shared" si="86"/>
        <v>0</v>
      </c>
      <c r="X101" s="167">
        <f t="shared" si="86"/>
        <v>0</v>
      </c>
      <c r="Y101" s="167">
        <f t="shared" si="86"/>
        <v>0</v>
      </c>
      <c r="Z101" s="167">
        <f t="shared" si="86"/>
        <v>0</v>
      </c>
      <c r="AA101" s="167">
        <f t="shared" si="86"/>
        <v>0</v>
      </c>
      <c r="AB101" s="169">
        <f t="shared" si="86"/>
        <v>0</v>
      </c>
      <c r="AC101" s="165"/>
      <c r="AD101" s="165"/>
      <c r="AE101" s="165"/>
      <c r="AF101" s="165"/>
      <c r="AG101" s="165"/>
      <c r="AH101" s="165"/>
      <c r="AI101" s="165"/>
      <c r="AJ101" s="165"/>
      <c r="AK101" s="165"/>
      <c r="AL101" s="165"/>
      <c r="AM101" s="165"/>
      <c r="AN101" s="165"/>
      <c r="AO101" s="165"/>
      <c r="AP101" s="165"/>
      <c r="AQ101" s="165"/>
      <c r="AR101" s="165"/>
      <c r="AS101" s="165"/>
      <c r="AT101" s="165"/>
      <c r="AU101" s="177">
        <f t="shared" si="84"/>
        <v>217000</v>
      </c>
    </row>
    <row r="102" spans="9:47" x14ac:dyDescent="0.35">
      <c r="I102" s="361"/>
      <c r="J102" s="69" t="str">
        <f t="shared" si="82"/>
        <v>WA57102005</v>
      </c>
      <c r="K102" s="176">
        <f t="shared" ref="K102:AB102" si="87">K84-K116</f>
        <v>0</v>
      </c>
      <c r="L102" s="167">
        <f t="shared" si="87"/>
        <v>0</v>
      </c>
      <c r="M102" s="167">
        <f t="shared" si="87"/>
        <v>0</v>
      </c>
      <c r="N102" s="167">
        <f t="shared" si="87"/>
        <v>0</v>
      </c>
      <c r="O102" s="167">
        <f t="shared" si="87"/>
        <v>10675</v>
      </c>
      <c r="P102" s="167">
        <f t="shared" si="87"/>
        <v>11375</v>
      </c>
      <c r="Q102" s="166">
        <f t="shared" si="87"/>
        <v>1575</v>
      </c>
      <c r="R102" s="167">
        <f t="shared" si="87"/>
        <v>5105</v>
      </c>
      <c r="S102" s="167">
        <f t="shared" si="87"/>
        <v>5105</v>
      </c>
      <c r="T102" s="167">
        <f t="shared" si="87"/>
        <v>875</v>
      </c>
      <c r="U102" s="167">
        <f t="shared" si="87"/>
        <v>0</v>
      </c>
      <c r="V102" s="167">
        <f t="shared" si="87"/>
        <v>0</v>
      </c>
      <c r="W102" s="168">
        <f t="shared" si="87"/>
        <v>0</v>
      </c>
      <c r="X102" s="167">
        <f t="shared" si="87"/>
        <v>0</v>
      </c>
      <c r="Y102" s="167">
        <f t="shared" si="87"/>
        <v>0</v>
      </c>
      <c r="Z102" s="167">
        <f t="shared" si="87"/>
        <v>0</v>
      </c>
      <c r="AA102" s="167">
        <f t="shared" si="87"/>
        <v>0</v>
      </c>
      <c r="AB102" s="169">
        <f t="shared" si="87"/>
        <v>0</v>
      </c>
      <c r="AC102" s="165"/>
      <c r="AD102" s="165"/>
      <c r="AE102" s="165"/>
      <c r="AF102" s="165"/>
      <c r="AG102" s="165"/>
      <c r="AH102" s="165"/>
      <c r="AI102" s="165"/>
      <c r="AJ102" s="165"/>
      <c r="AK102" s="165"/>
      <c r="AL102" s="165"/>
      <c r="AM102" s="165"/>
      <c r="AN102" s="165"/>
      <c r="AO102" s="165"/>
      <c r="AP102" s="165"/>
      <c r="AQ102" s="165"/>
      <c r="AR102" s="165"/>
      <c r="AS102" s="165"/>
      <c r="AT102" s="165"/>
      <c r="AU102" s="177">
        <f t="shared" si="84"/>
        <v>34710</v>
      </c>
    </row>
    <row r="103" spans="9:47" x14ac:dyDescent="0.35">
      <c r="I103" s="361"/>
      <c r="J103" s="69" t="str">
        <f t="shared" si="82"/>
        <v>WA57103001</v>
      </c>
      <c r="K103" s="176">
        <f t="shared" ref="K103:AB103" si="88">K85-K117</f>
        <v>0</v>
      </c>
      <c r="L103" s="167">
        <f t="shared" si="88"/>
        <v>0</v>
      </c>
      <c r="M103" s="167">
        <f t="shared" si="88"/>
        <v>0</v>
      </c>
      <c r="N103" s="167">
        <f t="shared" si="88"/>
        <v>0</v>
      </c>
      <c r="O103" s="167">
        <f t="shared" si="88"/>
        <v>0</v>
      </c>
      <c r="P103" s="167">
        <f t="shared" si="88"/>
        <v>0</v>
      </c>
      <c r="Q103" s="166">
        <f t="shared" si="88"/>
        <v>0</v>
      </c>
      <c r="R103" s="167">
        <f t="shared" si="88"/>
        <v>0</v>
      </c>
      <c r="S103" s="167">
        <f t="shared" si="88"/>
        <v>0</v>
      </c>
      <c r="T103" s="167">
        <f t="shared" si="88"/>
        <v>0</v>
      </c>
      <c r="U103" s="167">
        <f t="shared" si="88"/>
        <v>20160</v>
      </c>
      <c r="V103" s="167">
        <f t="shared" si="88"/>
        <v>20160</v>
      </c>
      <c r="W103" s="168">
        <f t="shared" si="88"/>
        <v>20160</v>
      </c>
      <c r="X103" s="167">
        <f t="shared" si="88"/>
        <v>22560</v>
      </c>
      <c r="Y103" s="167">
        <f t="shared" si="88"/>
        <v>26160</v>
      </c>
      <c r="Z103" s="167">
        <f t="shared" si="88"/>
        <v>24960</v>
      </c>
      <c r="AA103" s="167">
        <f t="shared" si="88"/>
        <v>0</v>
      </c>
      <c r="AB103" s="169">
        <f t="shared" si="88"/>
        <v>0</v>
      </c>
      <c r="AC103" s="165"/>
      <c r="AD103" s="165"/>
      <c r="AE103" s="165"/>
      <c r="AF103" s="165"/>
      <c r="AG103" s="165"/>
      <c r="AH103" s="165"/>
      <c r="AI103" s="165"/>
      <c r="AJ103" s="165"/>
      <c r="AK103" s="165"/>
      <c r="AL103" s="165"/>
      <c r="AM103" s="165"/>
      <c r="AN103" s="165"/>
      <c r="AO103" s="165"/>
      <c r="AP103" s="165"/>
      <c r="AQ103" s="165"/>
      <c r="AR103" s="165"/>
      <c r="AS103" s="165"/>
      <c r="AT103" s="165"/>
      <c r="AU103" s="177">
        <f t="shared" si="84"/>
        <v>134160</v>
      </c>
    </row>
    <row r="104" spans="9:47" x14ac:dyDescent="0.35">
      <c r="I104" s="361"/>
      <c r="J104" s="69" t="str">
        <f t="shared" si="82"/>
        <v>WA57103002</v>
      </c>
      <c r="K104" s="176">
        <f t="shared" ref="K104:AB104" si="89">K86-K118</f>
        <v>0</v>
      </c>
      <c r="L104" s="167">
        <f t="shared" si="89"/>
        <v>0</v>
      </c>
      <c r="M104" s="167">
        <f t="shared" si="89"/>
        <v>-21985</v>
      </c>
      <c r="N104" s="167">
        <f t="shared" si="89"/>
        <v>-23785</v>
      </c>
      <c r="O104" s="167">
        <f t="shared" si="89"/>
        <v>-40756</v>
      </c>
      <c r="P104" s="167">
        <f t="shared" si="89"/>
        <v>-28623</v>
      </c>
      <c r="Q104" s="166">
        <f t="shared" si="89"/>
        <v>-28423</v>
      </c>
      <c r="R104" s="167">
        <f t="shared" si="89"/>
        <v>-22709</v>
      </c>
      <c r="S104" s="167">
        <f t="shared" si="89"/>
        <v>-23423</v>
      </c>
      <c r="T104" s="167">
        <f t="shared" si="89"/>
        <v>-25823</v>
      </c>
      <c r="U104" s="167">
        <f t="shared" si="89"/>
        <v>-16838</v>
      </c>
      <c r="V104" s="167">
        <f t="shared" si="89"/>
        <v>-15638</v>
      </c>
      <c r="W104" s="168">
        <f t="shared" si="89"/>
        <v>-11438</v>
      </c>
      <c r="X104" s="167">
        <f t="shared" si="89"/>
        <v>-5405</v>
      </c>
      <c r="Y104" s="167">
        <f t="shared" si="89"/>
        <v>-2400</v>
      </c>
      <c r="Z104" s="167">
        <f t="shared" si="89"/>
        <v>0</v>
      </c>
      <c r="AA104" s="167">
        <f t="shared" si="89"/>
        <v>0</v>
      </c>
      <c r="AB104" s="169">
        <f t="shared" si="89"/>
        <v>0</v>
      </c>
      <c r="AC104" s="165"/>
      <c r="AD104" s="165"/>
      <c r="AE104" s="165"/>
      <c r="AF104" s="165"/>
      <c r="AG104" s="165"/>
      <c r="AH104" s="165"/>
      <c r="AI104" s="165"/>
      <c r="AJ104" s="165"/>
      <c r="AK104" s="165"/>
      <c r="AL104" s="165"/>
      <c r="AM104" s="165"/>
      <c r="AN104" s="165"/>
      <c r="AO104" s="165"/>
      <c r="AP104" s="165"/>
      <c r="AQ104" s="165"/>
      <c r="AR104" s="165"/>
      <c r="AS104" s="165"/>
      <c r="AT104" s="165"/>
      <c r="AU104" s="177">
        <f t="shared" si="84"/>
        <v>-267246</v>
      </c>
    </row>
    <row r="105" spans="9:47" x14ac:dyDescent="0.35">
      <c r="I105" s="361"/>
      <c r="J105" s="69" t="str">
        <f t="shared" si="82"/>
        <v>WA57103003</v>
      </c>
      <c r="K105" s="176">
        <f t="shared" ref="K105:AB105" si="90">K87-K119</f>
        <v>0</v>
      </c>
      <c r="L105" s="167">
        <f t="shared" si="90"/>
        <v>0</v>
      </c>
      <c r="M105" s="167">
        <f t="shared" si="90"/>
        <v>-17560</v>
      </c>
      <c r="N105" s="167">
        <f t="shared" si="90"/>
        <v>-8000</v>
      </c>
      <c r="O105" s="167">
        <f t="shared" si="90"/>
        <v>-8000</v>
      </c>
      <c r="P105" s="167">
        <f t="shared" si="90"/>
        <v>-15000</v>
      </c>
      <c r="Q105" s="166">
        <f t="shared" si="90"/>
        <v>-17000</v>
      </c>
      <c r="R105" s="167">
        <f t="shared" si="90"/>
        <v>0</v>
      </c>
      <c r="S105" s="167">
        <f t="shared" si="90"/>
        <v>30000</v>
      </c>
      <c r="T105" s="167">
        <f t="shared" si="90"/>
        <v>30000</v>
      </c>
      <c r="U105" s="167">
        <f t="shared" si="90"/>
        <v>30000</v>
      </c>
      <c r="V105" s="167">
        <f t="shared" si="90"/>
        <v>28000</v>
      </c>
      <c r="W105" s="168">
        <f t="shared" si="90"/>
        <v>25000</v>
      </c>
      <c r="X105" s="167">
        <f t="shared" si="90"/>
        <v>15000</v>
      </c>
      <c r="Y105" s="167">
        <f t="shared" si="90"/>
        <v>0</v>
      </c>
      <c r="Z105" s="167">
        <f t="shared" si="90"/>
        <v>0</v>
      </c>
      <c r="AA105" s="167">
        <f t="shared" si="90"/>
        <v>0</v>
      </c>
      <c r="AB105" s="169">
        <f t="shared" si="90"/>
        <v>0</v>
      </c>
      <c r="AC105" s="165"/>
      <c r="AD105" s="165"/>
      <c r="AE105" s="165"/>
      <c r="AF105" s="165"/>
      <c r="AG105" s="165"/>
      <c r="AH105" s="165"/>
      <c r="AI105" s="165"/>
      <c r="AJ105" s="165"/>
      <c r="AK105" s="165"/>
      <c r="AL105" s="165"/>
      <c r="AM105" s="165"/>
      <c r="AN105" s="165"/>
      <c r="AO105" s="165"/>
      <c r="AP105" s="165"/>
      <c r="AQ105" s="165"/>
      <c r="AR105" s="165"/>
      <c r="AS105" s="165"/>
      <c r="AT105" s="165"/>
      <c r="AU105" s="177">
        <f t="shared" si="84"/>
        <v>92440</v>
      </c>
    </row>
    <row r="106" spans="9:47" x14ac:dyDescent="0.35">
      <c r="I106" s="361"/>
      <c r="J106" s="69" t="str">
        <f t="shared" si="82"/>
        <v>WA57103004</v>
      </c>
      <c r="K106" s="176">
        <f t="shared" ref="K106:AB106" si="91">K88-K120</f>
        <v>0</v>
      </c>
      <c r="L106" s="167">
        <f t="shared" si="91"/>
        <v>0</v>
      </c>
      <c r="M106" s="167">
        <f t="shared" si="91"/>
        <v>-239752</v>
      </c>
      <c r="N106" s="167">
        <f t="shared" si="91"/>
        <v>-413058</v>
      </c>
      <c r="O106" s="167">
        <f t="shared" si="91"/>
        <v>-476193</v>
      </c>
      <c r="P106" s="167">
        <f t="shared" si="91"/>
        <v>-562990</v>
      </c>
      <c r="Q106" s="166">
        <f t="shared" si="91"/>
        <v>-628687</v>
      </c>
      <c r="R106" s="167">
        <f t="shared" si="91"/>
        <v>-616020</v>
      </c>
      <c r="S106" s="167">
        <f t="shared" si="91"/>
        <v>-286118</v>
      </c>
      <c r="T106" s="167">
        <f t="shared" si="91"/>
        <v>-206380</v>
      </c>
      <c r="U106" s="167">
        <f t="shared" si="91"/>
        <v>-120000</v>
      </c>
      <c r="V106" s="167">
        <f t="shared" si="91"/>
        <v>-37225</v>
      </c>
      <c r="W106" s="168">
        <f t="shared" si="91"/>
        <v>0</v>
      </c>
      <c r="X106" s="167">
        <f t="shared" si="91"/>
        <v>0</v>
      </c>
      <c r="Y106" s="167">
        <f t="shared" si="91"/>
        <v>0</v>
      </c>
      <c r="Z106" s="167">
        <f t="shared" si="91"/>
        <v>0</v>
      </c>
      <c r="AA106" s="167">
        <f t="shared" si="91"/>
        <v>0</v>
      </c>
      <c r="AB106" s="169">
        <f t="shared" si="91"/>
        <v>0</v>
      </c>
      <c r="AC106" s="165"/>
      <c r="AD106" s="165"/>
      <c r="AE106" s="165"/>
      <c r="AF106" s="165"/>
      <c r="AG106" s="165"/>
      <c r="AH106" s="165"/>
      <c r="AI106" s="165"/>
      <c r="AJ106" s="165"/>
      <c r="AK106" s="165"/>
      <c r="AL106" s="165"/>
      <c r="AM106" s="165"/>
      <c r="AN106" s="165"/>
      <c r="AO106" s="165"/>
      <c r="AP106" s="165"/>
      <c r="AQ106" s="165"/>
      <c r="AR106" s="165"/>
      <c r="AS106" s="165"/>
      <c r="AT106" s="165"/>
      <c r="AU106" s="177">
        <f t="shared" si="84"/>
        <v>-3586423</v>
      </c>
    </row>
    <row r="107" spans="9:47" x14ac:dyDescent="0.35">
      <c r="I107" s="361"/>
      <c r="J107" s="69" t="str">
        <f t="shared" ref="J107:J108" si="92">J93</f>
        <v>WA57100000</v>
      </c>
      <c r="K107" s="176">
        <f t="shared" ref="K107:AB107" si="93">K93-K121</f>
        <v>0</v>
      </c>
      <c r="L107" s="167">
        <f t="shared" si="93"/>
        <v>0</v>
      </c>
      <c r="M107" s="167">
        <f t="shared" si="93"/>
        <v>0</v>
      </c>
      <c r="N107" s="167">
        <f t="shared" si="93"/>
        <v>0</v>
      </c>
      <c r="O107" s="167">
        <f t="shared" si="93"/>
        <v>0</v>
      </c>
      <c r="P107" s="167">
        <f t="shared" si="93"/>
        <v>0</v>
      </c>
      <c r="Q107" s="166">
        <f t="shared" si="93"/>
        <v>0</v>
      </c>
      <c r="R107" s="167">
        <f t="shared" si="93"/>
        <v>0</v>
      </c>
      <c r="S107" s="167">
        <f t="shared" si="93"/>
        <v>0</v>
      </c>
      <c r="T107" s="167">
        <f t="shared" si="93"/>
        <v>289666.59906840004</v>
      </c>
      <c r="U107" s="167">
        <f t="shared" si="93"/>
        <v>0</v>
      </c>
      <c r="V107" s="167">
        <f t="shared" si="93"/>
        <v>0</v>
      </c>
      <c r="W107" s="168">
        <f t="shared" si="93"/>
        <v>0</v>
      </c>
      <c r="X107" s="167">
        <f t="shared" si="93"/>
        <v>0</v>
      </c>
      <c r="Y107" s="167">
        <f t="shared" si="93"/>
        <v>0</v>
      </c>
      <c r="Z107" s="167">
        <f t="shared" si="93"/>
        <v>289666.59906840004</v>
      </c>
      <c r="AA107" s="167">
        <f t="shared" si="93"/>
        <v>0</v>
      </c>
      <c r="AB107" s="169">
        <f t="shared" si="93"/>
        <v>0</v>
      </c>
      <c r="AC107" s="165"/>
      <c r="AD107" s="165"/>
      <c r="AE107" s="165"/>
      <c r="AF107" s="165"/>
      <c r="AG107" s="165"/>
      <c r="AH107" s="165"/>
      <c r="AI107" s="165"/>
      <c r="AJ107" s="165"/>
      <c r="AK107" s="165"/>
      <c r="AL107" s="165"/>
      <c r="AM107" s="165"/>
      <c r="AN107" s="165"/>
      <c r="AO107" s="165"/>
      <c r="AP107" s="165"/>
      <c r="AQ107" s="165"/>
      <c r="AR107" s="165"/>
      <c r="AS107" s="165"/>
      <c r="AT107" s="165"/>
      <c r="AU107" s="177">
        <f t="shared" si="84"/>
        <v>579333.19813680009</v>
      </c>
    </row>
    <row r="108" spans="9:47" ht="15" thickBot="1" x14ac:dyDescent="0.4">
      <c r="I108" s="361"/>
      <c r="J108" s="160">
        <f t="shared" si="92"/>
        <v>0</v>
      </c>
      <c r="K108" s="176">
        <f t="shared" ref="K108:AB108" si="94">K94-K122</f>
        <v>0</v>
      </c>
      <c r="L108" s="171">
        <f t="shared" si="94"/>
        <v>0</v>
      </c>
      <c r="M108" s="171">
        <f t="shared" si="94"/>
        <v>0</v>
      </c>
      <c r="N108" s="171">
        <f t="shared" si="94"/>
        <v>0</v>
      </c>
      <c r="O108" s="171">
        <f t="shared" si="94"/>
        <v>0</v>
      </c>
      <c r="P108" s="171">
        <f t="shared" si="94"/>
        <v>0</v>
      </c>
      <c r="Q108" s="170">
        <f t="shared" si="94"/>
        <v>0</v>
      </c>
      <c r="R108" s="171">
        <f t="shared" si="94"/>
        <v>0</v>
      </c>
      <c r="S108" s="171">
        <f t="shared" si="94"/>
        <v>0</v>
      </c>
      <c r="T108" s="171">
        <f t="shared" si="94"/>
        <v>0</v>
      </c>
      <c r="U108" s="171">
        <f t="shared" si="94"/>
        <v>0</v>
      </c>
      <c r="V108" s="171">
        <f t="shared" si="94"/>
        <v>0</v>
      </c>
      <c r="W108" s="172">
        <f t="shared" si="94"/>
        <v>0</v>
      </c>
      <c r="X108" s="171">
        <f t="shared" si="94"/>
        <v>0</v>
      </c>
      <c r="Y108" s="171">
        <f t="shared" si="94"/>
        <v>0</v>
      </c>
      <c r="Z108" s="171">
        <f t="shared" si="94"/>
        <v>0</v>
      </c>
      <c r="AA108" s="171">
        <f t="shared" si="94"/>
        <v>0</v>
      </c>
      <c r="AB108" s="173">
        <f t="shared" si="94"/>
        <v>0</v>
      </c>
      <c r="AC108" s="165"/>
      <c r="AD108" s="165"/>
      <c r="AE108" s="165"/>
      <c r="AF108" s="165"/>
      <c r="AG108" s="165"/>
      <c r="AH108" s="165"/>
      <c r="AI108" s="165"/>
      <c r="AJ108" s="165"/>
      <c r="AK108" s="165"/>
      <c r="AL108" s="165"/>
      <c r="AM108" s="165"/>
      <c r="AN108" s="165"/>
      <c r="AO108" s="165"/>
      <c r="AP108" s="165"/>
      <c r="AQ108" s="165"/>
      <c r="AR108" s="165"/>
      <c r="AS108" s="165"/>
      <c r="AT108" s="165"/>
      <c r="AU108" s="178">
        <f t="shared" si="84"/>
        <v>0</v>
      </c>
    </row>
    <row r="109" spans="9:47" ht="15" thickBot="1" x14ac:dyDescent="0.4">
      <c r="I109" s="362"/>
      <c r="J109" s="159"/>
      <c r="K109" s="174">
        <f t="shared" ref="K109" si="95">SUM(K99:K108)</f>
        <v>0</v>
      </c>
      <c r="L109" s="174">
        <f t="shared" ref="L109" si="96">SUM(L99:L108)</f>
        <v>0</v>
      </c>
      <c r="M109" s="174">
        <f>SUM(M99:M108)</f>
        <v>-261037</v>
      </c>
      <c r="N109" s="174">
        <f t="shared" ref="N109" si="97">SUM(N99:N108)</f>
        <v>-378583</v>
      </c>
      <c r="O109" s="174">
        <f t="shared" ref="O109" si="98">SUM(O99:O108)</f>
        <v>-461014</v>
      </c>
      <c r="P109" s="174">
        <f t="shared" ref="P109" si="99">SUM(P99:P108)</f>
        <v>-507519.36</v>
      </c>
      <c r="Q109" s="174">
        <f t="shared" ref="Q109" si="100">SUM(Q99:Q108)</f>
        <v>-598075</v>
      </c>
      <c r="R109" s="174">
        <f t="shared" ref="R109" si="101">SUM(R99:R108)</f>
        <v>-576872.64</v>
      </c>
      <c r="S109" s="174">
        <f t="shared" ref="S109" si="102">SUM(S99:S108)</f>
        <v>-253776</v>
      </c>
      <c r="T109" s="174">
        <f t="shared" ref="T109" si="103">SUM(T99:T108)</f>
        <v>114018.59906840004</v>
      </c>
      <c r="U109" s="174">
        <f t="shared" ref="U109" si="104">SUM(U99:U108)</f>
        <v>-88578</v>
      </c>
      <c r="V109" s="174">
        <f t="shared" ref="V109" si="105">SUM(V99:V108)</f>
        <v>-6603</v>
      </c>
      <c r="W109" s="174">
        <f t="shared" ref="W109" si="106">SUM(W99:W108)</f>
        <v>31822</v>
      </c>
      <c r="X109" s="174">
        <f t="shared" ref="X109" si="107">SUM(X99:X108)</f>
        <v>30255</v>
      </c>
      <c r="Y109" s="174">
        <f t="shared" ref="Y109" si="108">SUM(Y99:Y108)</f>
        <v>23760</v>
      </c>
      <c r="Z109" s="174">
        <f t="shared" ref="Z109" si="109">SUM(Z99:Z108)</f>
        <v>314626.59906840004</v>
      </c>
      <c r="AA109" s="174">
        <f t="shared" ref="AA109" si="110">SUM(AA99:AA108)</f>
        <v>0</v>
      </c>
      <c r="AB109" s="174">
        <f t="shared" ref="AB109" si="111">SUM(AB99:AB108)</f>
        <v>0</v>
      </c>
      <c r="AC109" s="174">
        <f t="shared" ref="AC109" si="112">SUM(AC99:AC108)</f>
        <v>0</v>
      </c>
      <c r="AD109" s="174">
        <f t="shared" ref="AD109" si="113">SUM(AD99:AD108)</f>
        <v>0</v>
      </c>
      <c r="AE109" s="174">
        <f t="shared" ref="AE109" si="114">SUM(AE99:AE108)</f>
        <v>0</v>
      </c>
      <c r="AF109" s="174">
        <f t="shared" ref="AF109" si="115">SUM(AF99:AF108)</f>
        <v>0</v>
      </c>
      <c r="AG109" s="174">
        <f t="shared" ref="AG109" si="116">SUM(AG99:AG108)</f>
        <v>0</v>
      </c>
      <c r="AH109" s="174">
        <f t="shared" ref="AH109" si="117">SUM(AH99:AH108)</f>
        <v>0</v>
      </c>
      <c r="AI109" s="174">
        <f t="shared" ref="AI109" si="118">SUM(AI99:AI108)</f>
        <v>0</v>
      </c>
      <c r="AJ109" s="174">
        <f t="shared" ref="AJ109" si="119">SUM(AJ99:AJ108)</f>
        <v>0</v>
      </c>
      <c r="AK109" s="174">
        <f t="shared" ref="AK109" si="120">SUM(AK99:AK108)</f>
        <v>0</v>
      </c>
      <c r="AL109" s="174">
        <f t="shared" ref="AL109" si="121">SUM(AL99:AL108)</f>
        <v>0</v>
      </c>
      <c r="AM109" s="174">
        <f t="shared" ref="AM109" si="122">SUM(AM99:AM108)</f>
        <v>0</v>
      </c>
      <c r="AN109" s="174">
        <f t="shared" ref="AN109" si="123">SUM(AN99:AN108)</f>
        <v>0</v>
      </c>
      <c r="AO109" s="174">
        <f t="shared" ref="AO109" si="124">SUM(AO99:AO108)</f>
        <v>0</v>
      </c>
      <c r="AP109" s="174">
        <f t="shared" ref="AP109" si="125">SUM(AP99:AP108)</f>
        <v>0</v>
      </c>
      <c r="AQ109" s="174">
        <f t="shared" ref="AQ109" si="126">SUM(AQ99:AQ108)</f>
        <v>0</v>
      </c>
      <c r="AR109" s="174">
        <f t="shared" ref="AR109" si="127">SUM(AR99:AR108)</f>
        <v>0</v>
      </c>
      <c r="AS109" s="174">
        <f t="shared" ref="AS109" si="128">SUM(AS99:AS108)</f>
        <v>0</v>
      </c>
      <c r="AT109" s="174">
        <f t="shared" ref="AT109" si="129">SUM(AT99:AT108)</f>
        <v>0</v>
      </c>
      <c r="AU109" s="179">
        <f>SUM(K109:AB109)</f>
        <v>-2617575.8018632</v>
      </c>
    </row>
    <row r="110" spans="9:47" ht="15" thickBot="1" x14ac:dyDescent="0.4"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80"/>
    </row>
    <row r="111" spans="9:47" x14ac:dyDescent="0.35">
      <c r="I111" s="360" t="s">
        <v>89</v>
      </c>
      <c r="J111" s="356" t="s">
        <v>86</v>
      </c>
      <c r="K111" s="142" t="s">
        <v>27</v>
      </c>
      <c r="L111" s="29" t="s">
        <v>5</v>
      </c>
      <c r="M111" s="29" t="s">
        <v>28</v>
      </c>
      <c r="N111" s="29" t="s">
        <v>29</v>
      </c>
      <c r="O111" s="29" t="s">
        <v>30</v>
      </c>
      <c r="P111" s="30" t="s">
        <v>31</v>
      </c>
      <c r="Q111" s="31" t="s">
        <v>32</v>
      </c>
      <c r="R111" s="32" t="s">
        <v>33</v>
      </c>
      <c r="S111" s="32" t="s">
        <v>34</v>
      </c>
      <c r="T111" s="32" t="s">
        <v>35</v>
      </c>
      <c r="U111" s="32" t="s">
        <v>36</v>
      </c>
      <c r="V111" s="33" t="s">
        <v>37</v>
      </c>
      <c r="W111" s="34" t="s">
        <v>38</v>
      </c>
      <c r="X111" s="32" t="s">
        <v>39</v>
      </c>
      <c r="Y111" s="32" t="s">
        <v>40</v>
      </c>
      <c r="Z111" s="32" t="s">
        <v>41</v>
      </c>
      <c r="AA111" s="32" t="s">
        <v>42</v>
      </c>
      <c r="AB111" s="35" t="s">
        <v>43</v>
      </c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358" t="s">
        <v>87</v>
      </c>
    </row>
    <row r="112" spans="9:47" ht="15" thickBot="1" x14ac:dyDescent="0.4">
      <c r="I112" s="361"/>
      <c r="J112" s="357"/>
      <c r="K112" s="152">
        <v>46023</v>
      </c>
      <c r="L112" s="153">
        <f>EDATE(K112,1)</f>
        <v>46054</v>
      </c>
      <c r="M112" s="153">
        <f t="shared" ref="M112" si="130">EDATE(L112,1)</f>
        <v>46082</v>
      </c>
      <c r="N112" s="153">
        <f t="shared" ref="N112" si="131">EDATE(M112,1)</f>
        <v>46113</v>
      </c>
      <c r="O112" s="153">
        <f t="shared" ref="O112" si="132">EDATE(N112,1)</f>
        <v>46143</v>
      </c>
      <c r="P112" s="154">
        <f t="shared" ref="P112" si="133">EDATE(O112,1)</f>
        <v>46174</v>
      </c>
      <c r="Q112" s="152">
        <f t="shared" ref="Q112" si="134">EDATE(P112,1)</f>
        <v>46204</v>
      </c>
      <c r="R112" s="153">
        <f t="shared" ref="R112" si="135">EDATE(Q112,1)</f>
        <v>46235</v>
      </c>
      <c r="S112" s="153">
        <f t="shared" ref="S112" si="136">EDATE(R112,1)</f>
        <v>46266</v>
      </c>
      <c r="T112" s="153">
        <f t="shared" ref="T112" si="137">EDATE(S112,1)</f>
        <v>46296</v>
      </c>
      <c r="U112" s="153">
        <f t="shared" ref="U112" si="138">EDATE(T112,1)</f>
        <v>46327</v>
      </c>
      <c r="V112" s="155">
        <f t="shared" ref="V112" si="139">EDATE(U112,1)</f>
        <v>46357</v>
      </c>
      <c r="W112" s="156">
        <f t="shared" ref="W112" si="140">EDATE(V112,1)</f>
        <v>46388</v>
      </c>
      <c r="X112" s="157">
        <f t="shared" ref="X112" si="141">EDATE(W112,1)</f>
        <v>46419</v>
      </c>
      <c r="Y112" s="157">
        <f t="shared" ref="Y112" si="142">EDATE(X112,1)</f>
        <v>46447</v>
      </c>
      <c r="Z112" s="157">
        <f t="shared" ref="Z112" si="143">EDATE(Y112,1)</f>
        <v>46478</v>
      </c>
      <c r="AA112" s="157">
        <f t="shared" ref="AA112" si="144">EDATE(Z112,1)</f>
        <v>46508</v>
      </c>
      <c r="AB112" s="158">
        <f t="shared" ref="AB112" si="145">EDATE(AA112,1)</f>
        <v>46539</v>
      </c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359"/>
    </row>
    <row r="113" spans="9:47" x14ac:dyDescent="0.35">
      <c r="I113" s="361"/>
      <c r="J113" s="69" t="str">
        <f t="shared" ref="J113:J120" si="146">J81</f>
        <v>WA57102001</v>
      </c>
      <c r="K113" s="161">
        <f t="shared" ref="K113:L122" si="147">SUMIF($A$12:$A$75,$J113,K$12:K$75)</f>
        <v>0</v>
      </c>
      <c r="L113" s="162">
        <f t="shared" si="147"/>
        <v>0</v>
      </c>
      <c r="M113" s="162">
        <v>1900</v>
      </c>
      <c r="N113" s="162">
        <v>1900</v>
      </c>
      <c r="O113" s="162">
        <v>1900</v>
      </c>
      <c r="P113" s="162">
        <v>1900</v>
      </c>
      <c r="Q113" s="161">
        <v>1900</v>
      </c>
      <c r="R113" s="162">
        <v>1900</v>
      </c>
      <c r="S113" s="162">
        <v>1900</v>
      </c>
      <c r="T113" s="162">
        <v>1900</v>
      </c>
      <c r="U113" s="162">
        <v>1900</v>
      </c>
      <c r="V113" s="162">
        <v>1900</v>
      </c>
      <c r="W113" s="163">
        <v>1900</v>
      </c>
      <c r="X113" s="162">
        <v>1900</v>
      </c>
      <c r="Y113" s="162">
        <v>0</v>
      </c>
      <c r="Z113" s="162">
        <v>0</v>
      </c>
      <c r="AA113" s="162">
        <f t="shared" ref="AA113:AB122" si="148">SUMIF($A$12:$A$75,$J113,AA$12:AA$75)</f>
        <v>0</v>
      </c>
      <c r="AB113" s="164">
        <f t="shared" si="148"/>
        <v>0</v>
      </c>
      <c r="AC113" s="165"/>
      <c r="AD113" s="165"/>
      <c r="AE113" s="165"/>
      <c r="AF113" s="165"/>
      <c r="AG113" s="165"/>
      <c r="AH113" s="165"/>
      <c r="AI113" s="165"/>
      <c r="AJ113" s="165"/>
      <c r="AK113" s="165"/>
      <c r="AL113" s="165"/>
      <c r="AM113" s="165"/>
      <c r="AN113" s="165"/>
      <c r="AO113" s="165"/>
      <c r="AP113" s="165"/>
      <c r="AQ113" s="165"/>
      <c r="AR113" s="165"/>
      <c r="AS113" s="165"/>
      <c r="AT113" s="165"/>
      <c r="AU113" s="177">
        <f t="shared" ref="AU113:AU122" si="149">SUM(K113:AB113)</f>
        <v>22800</v>
      </c>
    </row>
    <row r="114" spans="9:47" x14ac:dyDescent="0.35">
      <c r="I114" s="361"/>
      <c r="J114" s="69" t="str">
        <f t="shared" si="146"/>
        <v>WA57102002</v>
      </c>
      <c r="K114" s="166">
        <f t="shared" si="147"/>
        <v>0</v>
      </c>
      <c r="L114" s="167">
        <f t="shared" si="147"/>
        <v>0</v>
      </c>
      <c r="M114" s="167">
        <v>0</v>
      </c>
      <c r="N114" s="167">
        <v>0</v>
      </c>
      <c r="O114" s="167">
        <v>0</v>
      </c>
      <c r="P114" s="167">
        <v>0</v>
      </c>
      <c r="Q114" s="166">
        <v>0</v>
      </c>
      <c r="R114" s="167">
        <v>0</v>
      </c>
      <c r="S114" s="167">
        <v>0</v>
      </c>
      <c r="T114" s="167">
        <v>0</v>
      </c>
      <c r="U114" s="167">
        <v>0</v>
      </c>
      <c r="V114" s="167">
        <v>0</v>
      </c>
      <c r="W114" s="168">
        <v>0</v>
      </c>
      <c r="X114" s="167">
        <v>0</v>
      </c>
      <c r="Y114" s="167">
        <v>0</v>
      </c>
      <c r="Z114" s="167">
        <v>0</v>
      </c>
      <c r="AA114" s="167">
        <f t="shared" si="148"/>
        <v>0</v>
      </c>
      <c r="AB114" s="169">
        <f t="shared" si="148"/>
        <v>0</v>
      </c>
      <c r="AC114" s="165"/>
      <c r="AD114" s="165"/>
      <c r="AE114" s="165"/>
      <c r="AF114" s="165"/>
      <c r="AG114" s="165"/>
      <c r="AH114" s="165"/>
      <c r="AI114" s="165"/>
      <c r="AJ114" s="165"/>
      <c r="AK114" s="165"/>
      <c r="AL114" s="165"/>
      <c r="AM114" s="165"/>
      <c r="AN114" s="165"/>
      <c r="AO114" s="165"/>
      <c r="AP114" s="165"/>
      <c r="AQ114" s="165"/>
      <c r="AR114" s="165"/>
      <c r="AS114" s="165"/>
      <c r="AT114" s="165"/>
      <c r="AU114" s="177">
        <f t="shared" si="149"/>
        <v>0</v>
      </c>
    </row>
    <row r="115" spans="9:47" x14ac:dyDescent="0.35">
      <c r="I115" s="361"/>
      <c r="J115" s="69" t="str">
        <f t="shared" si="146"/>
        <v>WA57102003</v>
      </c>
      <c r="K115" s="166">
        <f t="shared" si="147"/>
        <v>0</v>
      </c>
      <c r="L115" s="167">
        <f t="shared" si="147"/>
        <v>0</v>
      </c>
      <c r="M115" s="167">
        <v>0</v>
      </c>
      <c r="N115" s="167">
        <v>0</v>
      </c>
      <c r="O115" s="167">
        <v>0</v>
      </c>
      <c r="P115" s="167">
        <v>0</v>
      </c>
      <c r="Q115" s="166">
        <v>0</v>
      </c>
      <c r="R115" s="167">
        <v>0</v>
      </c>
      <c r="S115" s="167">
        <v>0</v>
      </c>
      <c r="T115" s="167">
        <v>0</v>
      </c>
      <c r="U115" s="167">
        <v>0</v>
      </c>
      <c r="V115" s="167">
        <v>0</v>
      </c>
      <c r="W115" s="168">
        <v>0</v>
      </c>
      <c r="X115" s="167">
        <v>0</v>
      </c>
      <c r="Y115" s="167">
        <v>0</v>
      </c>
      <c r="Z115" s="167">
        <v>0</v>
      </c>
      <c r="AA115" s="167">
        <f t="shared" si="148"/>
        <v>0</v>
      </c>
      <c r="AB115" s="169">
        <f t="shared" si="148"/>
        <v>0</v>
      </c>
      <c r="AC115" s="165"/>
      <c r="AD115" s="165"/>
      <c r="AE115" s="165"/>
      <c r="AF115" s="165"/>
      <c r="AG115" s="165"/>
      <c r="AH115" s="165"/>
      <c r="AI115" s="165"/>
      <c r="AJ115" s="165"/>
      <c r="AK115" s="165"/>
      <c r="AL115" s="165"/>
      <c r="AM115" s="165"/>
      <c r="AN115" s="165"/>
      <c r="AO115" s="165"/>
      <c r="AP115" s="165"/>
      <c r="AQ115" s="165"/>
      <c r="AR115" s="165"/>
      <c r="AS115" s="165"/>
      <c r="AT115" s="165"/>
      <c r="AU115" s="177">
        <f t="shared" si="149"/>
        <v>0</v>
      </c>
    </row>
    <row r="116" spans="9:47" x14ac:dyDescent="0.35">
      <c r="I116" s="361"/>
      <c r="J116" s="69" t="str">
        <f t="shared" si="146"/>
        <v>WA57102005</v>
      </c>
      <c r="K116" s="166">
        <f t="shared" si="147"/>
        <v>0</v>
      </c>
      <c r="L116" s="167">
        <f t="shared" si="147"/>
        <v>0</v>
      </c>
      <c r="M116" s="167">
        <v>0</v>
      </c>
      <c r="N116" s="167">
        <v>0</v>
      </c>
      <c r="O116" s="167">
        <v>0</v>
      </c>
      <c r="P116" s="167">
        <v>0</v>
      </c>
      <c r="Q116" s="166">
        <v>0</v>
      </c>
      <c r="R116" s="167">
        <v>0</v>
      </c>
      <c r="S116" s="167">
        <v>0</v>
      </c>
      <c r="T116" s="167">
        <v>0</v>
      </c>
      <c r="U116" s="167">
        <v>0</v>
      </c>
      <c r="V116" s="167">
        <v>0</v>
      </c>
      <c r="W116" s="168">
        <v>0</v>
      </c>
      <c r="X116" s="167">
        <v>0</v>
      </c>
      <c r="Y116" s="167">
        <v>0</v>
      </c>
      <c r="Z116" s="167">
        <v>0</v>
      </c>
      <c r="AA116" s="167">
        <f t="shared" si="148"/>
        <v>0</v>
      </c>
      <c r="AB116" s="169">
        <f t="shared" si="148"/>
        <v>0</v>
      </c>
      <c r="AC116" s="165"/>
      <c r="AD116" s="165"/>
      <c r="AE116" s="165"/>
      <c r="AF116" s="165"/>
      <c r="AG116" s="165"/>
      <c r="AH116" s="165"/>
      <c r="AI116" s="165"/>
      <c r="AJ116" s="165"/>
      <c r="AK116" s="165"/>
      <c r="AL116" s="165"/>
      <c r="AM116" s="165"/>
      <c r="AN116" s="165"/>
      <c r="AO116" s="165"/>
      <c r="AP116" s="165"/>
      <c r="AQ116" s="165"/>
      <c r="AR116" s="165"/>
      <c r="AS116" s="165"/>
      <c r="AT116" s="165"/>
      <c r="AU116" s="177">
        <f t="shared" si="149"/>
        <v>0</v>
      </c>
    </row>
    <row r="117" spans="9:47" x14ac:dyDescent="0.35">
      <c r="I117" s="361"/>
      <c r="J117" s="69" t="str">
        <f t="shared" si="146"/>
        <v>WA57103001</v>
      </c>
      <c r="K117" s="166">
        <f t="shared" si="147"/>
        <v>0</v>
      </c>
      <c r="L117" s="167">
        <f t="shared" si="147"/>
        <v>0</v>
      </c>
      <c r="M117" s="167">
        <v>0</v>
      </c>
      <c r="N117" s="167">
        <v>0</v>
      </c>
      <c r="O117" s="167">
        <v>0</v>
      </c>
      <c r="P117" s="167">
        <v>0</v>
      </c>
      <c r="Q117" s="166">
        <v>0</v>
      </c>
      <c r="R117" s="167">
        <v>0</v>
      </c>
      <c r="S117" s="167">
        <v>0</v>
      </c>
      <c r="T117" s="167">
        <v>0</v>
      </c>
      <c r="U117" s="167">
        <v>0</v>
      </c>
      <c r="V117" s="167">
        <v>0</v>
      </c>
      <c r="W117" s="168">
        <v>0</v>
      </c>
      <c r="X117" s="167">
        <v>0</v>
      </c>
      <c r="Y117" s="167">
        <v>0</v>
      </c>
      <c r="Z117" s="167">
        <v>0</v>
      </c>
      <c r="AA117" s="167">
        <f t="shared" si="148"/>
        <v>26160</v>
      </c>
      <c r="AB117" s="169">
        <f t="shared" si="148"/>
        <v>22560</v>
      </c>
      <c r="AC117" s="165"/>
      <c r="AD117" s="165"/>
      <c r="AE117" s="165"/>
      <c r="AF117" s="165"/>
      <c r="AG117" s="165"/>
      <c r="AH117" s="165"/>
      <c r="AI117" s="165"/>
      <c r="AJ117" s="165"/>
      <c r="AK117" s="165"/>
      <c r="AL117" s="165"/>
      <c r="AM117" s="165"/>
      <c r="AN117" s="165"/>
      <c r="AO117" s="165"/>
      <c r="AP117" s="165"/>
      <c r="AQ117" s="165"/>
      <c r="AR117" s="165"/>
      <c r="AS117" s="165"/>
      <c r="AT117" s="165"/>
      <c r="AU117" s="177">
        <f t="shared" si="149"/>
        <v>48720</v>
      </c>
    </row>
    <row r="118" spans="9:47" x14ac:dyDescent="0.35">
      <c r="I118" s="361"/>
      <c r="J118" s="69" t="str">
        <f t="shared" si="146"/>
        <v>WA57103002</v>
      </c>
      <c r="K118" s="166">
        <f t="shared" si="147"/>
        <v>0</v>
      </c>
      <c r="L118" s="167">
        <f t="shared" si="147"/>
        <v>0</v>
      </c>
      <c r="M118" s="167">
        <v>21985</v>
      </c>
      <c r="N118" s="167">
        <v>23785</v>
      </c>
      <c r="O118" s="167">
        <v>40756</v>
      </c>
      <c r="P118" s="167">
        <v>28623</v>
      </c>
      <c r="Q118" s="166">
        <v>28423</v>
      </c>
      <c r="R118" s="167">
        <v>22709</v>
      </c>
      <c r="S118" s="167">
        <v>23423</v>
      </c>
      <c r="T118" s="167">
        <v>25823</v>
      </c>
      <c r="U118" s="167">
        <v>16838</v>
      </c>
      <c r="V118" s="167">
        <v>15638</v>
      </c>
      <c r="W118" s="168">
        <v>11438</v>
      </c>
      <c r="X118" s="167">
        <v>5405</v>
      </c>
      <c r="Y118" s="167">
        <v>2400</v>
      </c>
      <c r="Z118" s="167">
        <v>0</v>
      </c>
      <c r="AA118" s="167">
        <f t="shared" si="148"/>
        <v>0</v>
      </c>
      <c r="AB118" s="169">
        <f t="shared" si="148"/>
        <v>0</v>
      </c>
      <c r="AC118" s="165"/>
      <c r="AD118" s="165"/>
      <c r="AE118" s="165"/>
      <c r="AF118" s="165"/>
      <c r="AG118" s="165"/>
      <c r="AH118" s="165"/>
      <c r="AI118" s="165"/>
      <c r="AJ118" s="165"/>
      <c r="AK118" s="165"/>
      <c r="AL118" s="165"/>
      <c r="AM118" s="165"/>
      <c r="AN118" s="165"/>
      <c r="AO118" s="165"/>
      <c r="AP118" s="165"/>
      <c r="AQ118" s="165"/>
      <c r="AR118" s="165"/>
      <c r="AS118" s="165"/>
      <c r="AT118" s="165"/>
      <c r="AU118" s="177">
        <f t="shared" si="149"/>
        <v>267246</v>
      </c>
    </row>
    <row r="119" spans="9:47" x14ac:dyDescent="0.35">
      <c r="I119" s="361"/>
      <c r="J119" s="69" t="str">
        <f t="shared" si="146"/>
        <v>WA57103003</v>
      </c>
      <c r="K119" s="166">
        <f t="shared" si="147"/>
        <v>0</v>
      </c>
      <c r="L119" s="167">
        <f t="shared" si="147"/>
        <v>0</v>
      </c>
      <c r="M119" s="167">
        <v>17560</v>
      </c>
      <c r="N119" s="167">
        <v>8000</v>
      </c>
      <c r="O119" s="167">
        <v>8000</v>
      </c>
      <c r="P119" s="167">
        <v>15000</v>
      </c>
      <c r="Q119" s="166">
        <v>17000</v>
      </c>
      <c r="R119" s="167">
        <v>15000</v>
      </c>
      <c r="S119" s="167">
        <v>0</v>
      </c>
      <c r="T119" s="167">
        <v>0</v>
      </c>
      <c r="U119" s="167">
        <v>0</v>
      </c>
      <c r="V119" s="167">
        <v>0</v>
      </c>
      <c r="W119" s="168">
        <v>0</v>
      </c>
      <c r="X119" s="167">
        <v>0</v>
      </c>
      <c r="Y119" s="167">
        <v>0</v>
      </c>
      <c r="Z119" s="167">
        <v>0</v>
      </c>
      <c r="AA119" s="167">
        <f t="shared" si="148"/>
        <v>0</v>
      </c>
      <c r="AB119" s="169">
        <f t="shared" si="148"/>
        <v>0</v>
      </c>
      <c r="AC119" s="165"/>
      <c r="AD119" s="165"/>
      <c r="AE119" s="165"/>
      <c r="AF119" s="165"/>
      <c r="AG119" s="165"/>
      <c r="AH119" s="165"/>
      <c r="AI119" s="165"/>
      <c r="AJ119" s="165"/>
      <c r="AK119" s="165"/>
      <c r="AL119" s="165"/>
      <c r="AM119" s="165"/>
      <c r="AN119" s="165"/>
      <c r="AO119" s="165"/>
      <c r="AP119" s="165"/>
      <c r="AQ119" s="165"/>
      <c r="AR119" s="165"/>
      <c r="AS119" s="165"/>
      <c r="AT119" s="165"/>
      <c r="AU119" s="177">
        <f t="shared" si="149"/>
        <v>80560</v>
      </c>
    </row>
    <row r="120" spans="9:47" x14ac:dyDescent="0.35">
      <c r="I120" s="361"/>
      <c r="J120" s="69" t="str">
        <f t="shared" si="146"/>
        <v>WA57103004</v>
      </c>
      <c r="K120" s="166">
        <f t="shared" si="147"/>
        <v>0</v>
      </c>
      <c r="L120" s="167">
        <f t="shared" si="147"/>
        <v>0</v>
      </c>
      <c r="M120" s="167">
        <v>239752</v>
      </c>
      <c r="N120" s="167">
        <v>413058</v>
      </c>
      <c r="O120" s="167">
        <v>476193</v>
      </c>
      <c r="P120" s="167">
        <v>562990</v>
      </c>
      <c r="Q120" s="166">
        <v>628687</v>
      </c>
      <c r="R120" s="167">
        <v>616020</v>
      </c>
      <c r="S120" s="167">
        <v>286118</v>
      </c>
      <c r="T120" s="167">
        <v>206380</v>
      </c>
      <c r="U120" s="167">
        <v>120000</v>
      </c>
      <c r="V120" s="167">
        <v>37225</v>
      </c>
      <c r="W120" s="168">
        <v>0</v>
      </c>
      <c r="X120" s="167">
        <v>0</v>
      </c>
      <c r="Y120" s="167">
        <v>0</v>
      </c>
      <c r="Z120" s="167">
        <v>0</v>
      </c>
      <c r="AA120" s="167">
        <f t="shared" si="148"/>
        <v>0</v>
      </c>
      <c r="AB120" s="169">
        <f t="shared" si="148"/>
        <v>0</v>
      </c>
      <c r="AC120" s="165"/>
      <c r="AD120" s="165"/>
      <c r="AE120" s="165"/>
      <c r="AF120" s="165"/>
      <c r="AG120" s="165"/>
      <c r="AH120" s="165"/>
      <c r="AI120" s="165"/>
      <c r="AJ120" s="165"/>
      <c r="AK120" s="165"/>
      <c r="AL120" s="165"/>
      <c r="AM120" s="165"/>
      <c r="AN120" s="165"/>
      <c r="AO120" s="165"/>
      <c r="AP120" s="165"/>
      <c r="AQ120" s="165"/>
      <c r="AR120" s="165"/>
      <c r="AS120" s="165"/>
      <c r="AT120" s="165"/>
      <c r="AU120" s="177">
        <f t="shared" si="149"/>
        <v>3586423</v>
      </c>
    </row>
    <row r="121" spans="9:47" x14ac:dyDescent="0.35">
      <c r="I121" s="361"/>
      <c r="J121" s="69" t="str">
        <f t="shared" ref="J121:J122" si="150">J93</f>
        <v>WA57100000</v>
      </c>
      <c r="K121" s="166">
        <f t="shared" si="147"/>
        <v>0</v>
      </c>
      <c r="L121" s="167">
        <f t="shared" si="147"/>
        <v>0</v>
      </c>
      <c r="M121" s="167">
        <v>0</v>
      </c>
      <c r="N121" s="167">
        <v>0</v>
      </c>
      <c r="O121" s="167">
        <v>0</v>
      </c>
      <c r="P121" s="167">
        <v>0</v>
      </c>
      <c r="Q121" s="166">
        <v>0</v>
      </c>
      <c r="R121" s="167">
        <v>0</v>
      </c>
      <c r="S121" s="167">
        <v>0</v>
      </c>
      <c r="T121" s="167">
        <v>0</v>
      </c>
      <c r="U121" s="167">
        <v>0</v>
      </c>
      <c r="V121" s="167">
        <v>0</v>
      </c>
      <c r="W121" s="168">
        <v>0</v>
      </c>
      <c r="X121" s="167">
        <v>0</v>
      </c>
      <c r="Y121" s="167">
        <v>0</v>
      </c>
      <c r="Z121" s="167">
        <v>0</v>
      </c>
      <c r="AA121" s="167">
        <f t="shared" si="148"/>
        <v>0</v>
      </c>
      <c r="AB121" s="169">
        <f t="shared" si="148"/>
        <v>0</v>
      </c>
      <c r="AC121" s="165"/>
      <c r="AD121" s="165"/>
      <c r="AE121" s="165"/>
      <c r="AF121" s="165"/>
      <c r="AG121" s="165"/>
      <c r="AH121" s="165"/>
      <c r="AI121" s="165"/>
      <c r="AJ121" s="165"/>
      <c r="AK121" s="165"/>
      <c r="AL121" s="165"/>
      <c r="AM121" s="165"/>
      <c r="AN121" s="165"/>
      <c r="AO121" s="165"/>
      <c r="AP121" s="165"/>
      <c r="AQ121" s="165"/>
      <c r="AR121" s="165"/>
      <c r="AS121" s="165"/>
      <c r="AT121" s="165"/>
      <c r="AU121" s="177">
        <f t="shared" si="149"/>
        <v>0</v>
      </c>
    </row>
    <row r="122" spans="9:47" ht="15" thickBot="1" x14ac:dyDescent="0.4">
      <c r="I122" s="361"/>
      <c r="J122" s="160">
        <f t="shared" si="150"/>
        <v>0</v>
      </c>
      <c r="K122" s="170">
        <f t="shared" si="147"/>
        <v>0</v>
      </c>
      <c r="L122" s="171">
        <f t="shared" si="147"/>
        <v>0</v>
      </c>
      <c r="M122" s="171">
        <f t="shared" ref="M122:Z122" si="151">SUMIF($A$12:$A$75,$J122,M$12:M$75)</f>
        <v>0</v>
      </c>
      <c r="N122" s="171">
        <f t="shared" si="151"/>
        <v>0</v>
      </c>
      <c r="O122" s="171">
        <f t="shared" si="151"/>
        <v>0</v>
      </c>
      <c r="P122" s="171">
        <f t="shared" si="151"/>
        <v>0</v>
      </c>
      <c r="Q122" s="170">
        <f t="shared" si="151"/>
        <v>0</v>
      </c>
      <c r="R122" s="171">
        <f t="shared" si="151"/>
        <v>0</v>
      </c>
      <c r="S122" s="171">
        <f t="shared" si="151"/>
        <v>0</v>
      </c>
      <c r="T122" s="171">
        <f t="shared" si="151"/>
        <v>0</v>
      </c>
      <c r="U122" s="171">
        <f t="shared" si="151"/>
        <v>0</v>
      </c>
      <c r="V122" s="171">
        <f t="shared" si="151"/>
        <v>0</v>
      </c>
      <c r="W122" s="172">
        <f t="shared" si="151"/>
        <v>0</v>
      </c>
      <c r="X122" s="171">
        <f t="shared" si="151"/>
        <v>0</v>
      </c>
      <c r="Y122" s="171">
        <f t="shared" si="151"/>
        <v>0</v>
      </c>
      <c r="Z122" s="171">
        <f t="shared" si="151"/>
        <v>0</v>
      </c>
      <c r="AA122" s="171">
        <f t="shared" si="148"/>
        <v>0</v>
      </c>
      <c r="AB122" s="173">
        <f t="shared" si="148"/>
        <v>0</v>
      </c>
      <c r="AC122" s="165"/>
      <c r="AD122" s="165"/>
      <c r="AE122" s="165"/>
      <c r="AF122" s="165"/>
      <c r="AG122" s="165"/>
      <c r="AH122" s="165"/>
      <c r="AI122" s="165"/>
      <c r="AJ122" s="165"/>
      <c r="AK122" s="165"/>
      <c r="AL122" s="165"/>
      <c r="AM122" s="165"/>
      <c r="AN122" s="165"/>
      <c r="AO122" s="165"/>
      <c r="AP122" s="165"/>
      <c r="AQ122" s="165"/>
      <c r="AR122" s="165"/>
      <c r="AS122" s="165"/>
      <c r="AT122" s="165"/>
      <c r="AU122" s="178">
        <f t="shared" si="149"/>
        <v>0</v>
      </c>
    </row>
    <row r="123" spans="9:47" ht="15" thickBot="1" x14ac:dyDescent="0.4">
      <c r="I123" s="362"/>
      <c r="J123" s="159"/>
      <c r="K123" s="174">
        <f t="shared" ref="K123" si="152">SUM(K113:K122)</f>
        <v>0</v>
      </c>
      <c r="L123" s="174">
        <f t="shared" ref="L123" si="153">SUM(L113:L122)</f>
        <v>0</v>
      </c>
      <c r="M123" s="174">
        <f>SUM(M113:M122)</f>
        <v>281197</v>
      </c>
      <c r="N123" s="174">
        <f t="shared" ref="N123" si="154">SUM(N113:N122)</f>
        <v>446743</v>
      </c>
      <c r="O123" s="174">
        <f t="shared" ref="O123" si="155">SUM(O113:O122)</f>
        <v>526849</v>
      </c>
      <c r="P123" s="174">
        <f t="shared" ref="P123" si="156">SUM(P113:P122)</f>
        <v>608513</v>
      </c>
      <c r="Q123" s="174">
        <f t="shared" ref="Q123" si="157">SUM(Q113:Q122)</f>
        <v>676010</v>
      </c>
      <c r="R123" s="174">
        <f t="shared" ref="R123" si="158">SUM(R113:R122)</f>
        <v>655629</v>
      </c>
      <c r="S123" s="174">
        <f t="shared" ref="S123" si="159">SUM(S113:S122)</f>
        <v>311441</v>
      </c>
      <c r="T123" s="174">
        <f t="shared" ref="T123" si="160">SUM(T113:T122)</f>
        <v>234103</v>
      </c>
      <c r="U123" s="174">
        <f t="shared" ref="U123" si="161">SUM(U113:U122)</f>
        <v>138738</v>
      </c>
      <c r="V123" s="174">
        <f t="shared" ref="V123" si="162">SUM(V113:V122)</f>
        <v>54763</v>
      </c>
      <c r="W123" s="174">
        <f t="shared" ref="W123" si="163">SUM(W113:W122)</f>
        <v>13338</v>
      </c>
      <c r="X123" s="174">
        <f t="shared" ref="X123" si="164">SUM(X113:X122)</f>
        <v>7305</v>
      </c>
      <c r="Y123" s="174">
        <f t="shared" ref="Y123" si="165">SUM(Y113:Y122)</f>
        <v>2400</v>
      </c>
      <c r="Z123" s="174">
        <f t="shared" ref="Z123" si="166">SUM(Z113:Z122)</f>
        <v>0</v>
      </c>
      <c r="AA123" s="174">
        <f t="shared" ref="AA123" si="167">SUM(AA113:AA122)</f>
        <v>26160</v>
      </c>
      <c r="AB123" s="174">
        <f t="shared" ref="AB123" si="168">SUM(AB113:AB122)</f>
        <v>22560</v>
      </c>
      <c r="AC123" s="174">
        <f t="shared" ref="AC123" si="169">SUM(AC113:AC122)</f>
        <v>0</v>
      </c>
      <c r="AD123" s="174">
        <f t="shared" ref="AD123" si="170">SUM(AD113:AD122)</f>
        <v>0</v>
      </c>
      <c r="AE123" s="174">
        <f t="shared" ref="AE123" si="171">SUM(AE113:AE122)</f>
        <v>0</v>
      </c>
      <c r="AF123" s="174">
        <f t="shared" ref="AF123" si="172">SUM(AF113:AF122)</f>
        <v>0</v>
      </c>
      <c r="AG123" s="174">
        <f t="shared" ref="AG123" si="173">SUM(AG113:AG122)</f>
        <v>0</v>
      </c>
      <c r="AH123" s="174">
        <f t="shared" ref="AH123" si="174">SUM(AH113:AH122)</f>
        <v>0</v>
      </c>
      <c r="AI123" s="174">
        <f t="shared" ref="AI123" si="175">SUM(AI113:AI122)</f>
        <v>0</v>
      </c>
      <c r="AJ123" s="174">
        <f t="shared" ref="AJ123" si="176">SUM(AJ113:AJ122)</f>
        <v>0</v>
      </c>
      <c r="AK123" s="174">
        <f t="shared" ref="AK123" si="177">SUM(AK113:AK122)</f>
        <v>0</v>
      </c>
      <c r="AL123" s="174">
        <f t="shared" ref="AL123" si="178">SUM(AL113:AL122)</f>
        <v>0</v>
      </c>
      <c r="AM123" s="174">
        <f t="shared" ref="AM123" si="179">SUM(AM113:AM122)</f>
        <v>0</v>
      </c>
      <c r="AN123" s="174">
        <f t="shared" ref="AN123" si="180">SUM(AN113:AN122)</f>
        <v>0</v>
      </c>
      <c r="AO123" s="174">
        <f t="shared" ref="AO123" si="181">SUM(AO113:AO122)</f>
        <v>0</v>
      </c>
      <c r="AP123" s="174">
        <f t="shared" ref="AP123" si="182">SUM(AP113:AP122)</f>
        <v>0</v>
      </c>
      <c r="AQ123" s="174">
        <f t="shared" ref="AQ123" si="183">SUM(AQ113:AQ122)</f>
        <v>0</v>
      </c>
      <c r="AR123" s="174">
        <f t="shared" ref="AR123" si="184">SUM(AR113:AR122)</f>
        <v>0</v>
      </c>
      <c r="AS123" s="174">
        <f t="shared" ref="AS123" si="185">SUM(AS113:AS122)</f>
        <v>0</v>
      </c>
      <c r="AT123" s="174">
        <f t="shared" ref="AT123" si="186">SUM(AT113:AT122)</f>
        <v>0</v>
      </c>
      <c r="AU123" s="179">
        <f>SUM(K123:AB123)</f>
        <v>4005749</v>
      </c>
    </row>
    <row r="124" spans="9:47" x14ac:dyDescent="0.35"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80"/>
    </row>
    <row r="125" spans="9:47" x14ac:dyDescent="0.35"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80"/>
    </row>
  </sheetData>
  <mergeCells count="41">
    <mergeCell ref="A2:B2"/>
    <mergeCell ref="BC8:BD8"/>
    <mergeCell ref="BE8:BG8"/>
    <mergeCell ref="BE76:BG76"/>
    <mergeCell ref="E9:E10"/>
    <mergeCell ref="F9:F10"/>
    <mergeCell ref="G9:G10"/>
    <mergeCell ref="H9:H10"/>
    <mergeCell ref="J9:J10"/>
    <mergeCell ref="K8:V8"/>
    <mergeCell ref="K76:P76"/>
    <mergeCell ref="AI8:AT8"/>
    <mergeCell ref="AY8:AZ8"/>
    <mergeCell ref="W8:AH8"/>
    <mergeCell ref="BA8:BB8"/>
    <mergeCell ref="E8:F8"/>
    <mergeCell ref="A9:A11"/>
    <mergeCell ref="B9:B11"/>
    <mergeCell ref="C9:C11"/>
    <mergeCell ref="D9:D11"/>
    <mergeCell ref="A8:C8"/>
    <mergeCell ref="AU8:AX8"/>
    <mergeCell ref="Q76:AB76"/>
    <mergeCell ref="AC76:AN76"/>
    <mergeCell ref="AO76:AT76"/>
    <mergeCell ref="G8:J8"/>
    <mergeCell ref="I79:I95"/>
    <mergeCell ref="I111:I123"/>
    <mergeCell ref="G2:H2"/>
    <mergeCell ref="G3:H3"/>
    <mergeCell ref="G4:H4"/>
    <mergeCell ref="G5:H5"/>
    <mergeCell ref="G6:H6"/>
    <mergeCell ref="I9:I10"/>
    <mergeCell ref="I97:I109"/>
    <mergeCell ref="J97:J98"/>
    <mergeCell ref="AU97:AU98"/>
    <mergeCell ref="J79:J80"/>
    <mergeCell ref="AU79:AU80"/>
    <mergeCell ref="J111:J112"/>
    <mergeCell ref="AU111:AU112"/>
  </mergeCells>
  <phoneticPr fontId="8" type="noConversion"/>
  <conditionalFormatting sqref="BD13:BD73 BA13:BB73 F13:G73">
    <cfRule type="cellIs" dxfId="57" priority="1139" operator="lessThan">
      <formula>0</formula>
    </cfRule>
  </conditionalFormatting>
  <conditionalFormatting sqref="A13:BG13 A32:BG32 A34:BG35 A36:A49 A50:BG73">
    <cfRule type="expression" dxfId="56" priority="63">
      <formula>$D13&lt;&gt;$D14</formula>
    </cfRule>
  </conditionalFormatting>
  <conditionalFormatting sqref="K3:AT3">
    <cfRule type="expression" dxfId="55" priority="1201">
      <formula>AND(K$10&lt;=$J3,EOMONTH(K$10,0)&gt;=$I3)</formula>
    </cfRule>
  </conditionalFormatting>
  <conditionalFormatting sqref="K4:AT4">
    <cfRule type="expression" dxfId="54" priority="1202">
      <formula>AND(K$10&lt;=$J4,EOMONTH(K$10,0)&gt;=$I4)</formula>
    </cfRule>
  </conditionalFormatting>
  <conditionalFormatting sqref="K5:AT5">
    <cfRule type="expression" dxfId="53" priority="1203">
      <formula>AND(K$10&lt;=$J5,EOMONTH(K$10,0)&gt;=$I5)</formula>
    </cfRule>
  </conditionalFormatting>
  <conditionalFormatting sqref="K6:AT6">
    <cfRule type="expression" dxfId="52" priority="1204">
      <formula>AND(K$10&lt;=$J6,EOMONTH(K$10,0)&gt;=$I6)</formula>
    </cfRule>
  </conditionalFormatting>
  <conditionalFormatting sqref="J13:J73">
    <cfRule type="cellIs" dxfId="51" priority="32" operator="greaterThan">
      <formula>0</formula>
    </cfRule>
    <cfRule type="cellIs" dxfId="50" priority="600" operator="lessThan">
      <formula>0</formula>
    </cfRule>
  </conditionalFormatting>
  <conditionalFormatting sqref="A13:J13 A32:J35 A36:A49">
    <cfRule type="expression" dxfId="49" priority="591">
      <formula>MOD($D13,10)=1</formula>
    </cfRule>
    <cfRule type="expression" dxfId="48" priority="592">
      <formula>MOD($D13,10)=2</formula>
    </cfRule>
    <cfRule type="expression" dxfId="47" priority="593">
      <formula>MOD($D13,10)=3</formula>
    </cfRule>
    <cfRule type="expression" dxfId="46" priority="594">
      <formula>MOD($D13,10)=4</formula>
    </cfRule>
    <cfRule type="expression" dxfId="45" priority="595">
      <formula>MOD($D13,10)=5</formula>
    </cfRule>
    <cfRule type="expression" dxfId="44" priority="596">
      <formula>MOD($D13,10)=6</formula>
    </cfRule>
    <cfRule type="expression" dxfId="43" priority="597">
      <formula>MOD($D13,10)=7</formula>
    </cfRule>
    <cfRule type="expression" dxfId="42" priority="598">
      <formula>MOD($D13,10)=8</formula>
    </cfRule>
    <cfRule type="expression" dxfId="41" priority="599">
      <formula>MOD($D13,10)=9</formula>
    </cfRule>
  </conditionalFormatting>
  <conditionalFormatting sqref="B36:BG49">
    <cfRule type="expression" dxfId="40" priority="12">
      <formula>$D36&lt;&gt;$D37</formula>
    </cfRule>
  </conditionalFormatting>
  <conditionalFormatting sqref="B36:J49 A50:J73">
    <cfRule type="expression" dxfId="39" priority="13">
      <formula>MOD($D36,10)=1</formula>
    </cfRule>
    <cfRule type="expression" dxfId="38" priority="14">
      <formula>MOD($D36,10)=2</formula>
    </cfRule>
    <cfRule type="expression" dxfId="37" priority="15">
      <formula>MOD($D36,10)=3</formula>
    </cfRule>
    <cfRule type="expression" dxfId="36" priority="16">
      <formula>MOD($D36,10)=4</formula>
    </cfRule>
    <cfRule type="expression" dxfId="35" priority="17">
      <formula>MOD($D36,10)=5</formula>
    </cfRule>
    <cfRule type="expression" dxfId="34" priority="18">
      <formula>MOD($D36,10)=6</formula>
    </cfRule>
    <cfRule type="expression" dxfId="33" priority="19">
      <formula>MOD($D36,10)=7</formula>
    </cfRule>
    <cfRule type="expression" dxfId="32" priority="20">
      <formula>MOD($D36,10)=8</formula>
    </cfRule>
    <cfRule type="expression" dxfId="31" priority="21">
      <formula>MOD($D36,10)=9</formula>
    </cfRule>
  </conditionalFormatting>
  <conditionalFormatting sqref="A14:BG31">
    <cfRule type="expression" dxfId="30" priority="1">
      <formula>$D14&lt;&gt;$D15</formula>
    </cfRule>
  </conditionalFormatting>
  <conditionalFormatting sqref="A14:J31">
    <cfRule type="expression" dxfId="29" priority="2">
      <formula>MOD($D14,10)=1</formula>
    </cfRule>
    <cfRule type="expression" dxfId="28" priority="3">
      <formula>MOD($D14,10)=2</formula>
    </cfRule>
    <cfRule type="expression" dxfId="27" priority="4">
      <formula>MOD($D14,10)=3</formula>
    </cfRule>
    <cfRule type="expression" dxfId="26" priority="5">
      <formula>MOD($D14,10)=4</formula>
    </cfRule>
    <cfRule type="expression" dxfId="25" priority="6">
      <formula>MOD($D14,10)=5</formula>
    </cfRule>
    <cfRule type="expression" dxfId="24" priority="7">
      <formula>MOD($D14,10)=6</formula>
    </cfRule>
    <cfRule type="expression" dxfId="23" priority="8">
      <formula>MOD($D14,10)=7</formula>
    </cfRule>
    <cfRule type="expression" dxfId="22" priority="9">
      <formula>MOD($D14,10)=8</formula>
    </cfRule>
    <cfRule type="expression" dxfId="21" priority="10">
      <formula>MOD($D14,10)=9</formula>
    </cfRule>
  </conditionalFormatting>
  <conditionalFormatting sqref="A33:BG33">
    <cfRule type="expression" dxfId="20" priority="1221">
      <formula>$D33&lt;&gt;#REF!</formula>
    </cfRule>
  </conditionalFormatting>
  <pageMargins left="0.7" right="0.7" top="0.75" bottom="0.75" header="0.3" footer="0.3"/>
  <pageSetup paperSize="8" scale="25" fitToHeight="0" orientation="landscape" r:id="rId1"/>
  <rowBreaks count="1" manualBreakCount="1">
    <brk id="7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xFormattingFromRow12">
                <anchor moveWithCells="1" sizeWithCells="1">
                  <from>
                    <xdr:col>0</xdr:col>
                    <xdr:colOff>76200</xdr:colOff>
                    <xdr:row>3</xdr:row>
                    <xdr:rowOff>177800</xdr:rowOff>
                  </from>
                  <to>
                    <xdr:col>0</xdr:col>
                    <xdr:colOff>1327150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ertRelativeRow">
                <anchor moveWithCells="1" sizeWithCells="1">
                  <from>
                    <xdr:col>1</xdr:col>
                    <xdr:colOff>63500</xdr:colOff>
                    <xdr:row>3</xdr:row>
                    <xdr:rowOff>190500</xdr:rowOff>
                  </from>
                  <to>
                    <xdr:col>1</xdr:col>
                    <xdr:colOff>1314450</xdr:colOff>
                    <xdr:row>5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2771E-0197-4144-9FF8-962158AE1F92}">
  <sheetPr codeName="Sheet8">
    <pageSetUpPr fitToPage="1"/>
  </sheetPr>
  <dimension ref="B2:K77"/>
  <sheetViews>
    <sheetView showGridLines="0" tabSelected="1" view="pageBreakPreview" zoomScale="85" zoomScaleNormal="70" zoomScaleSheetLayoutView="85" workbookViewId="0">
      <selection activeCell="Q7" sqref="Q7"/>
    </sheetView>
  </sheetViews>
  <sheetFormatPr defaultColWidth="8.7265625" defaultRowHeight="15.5" x14ac:dyDescent="0.35"/>
  <cols>
    <col min="1" max="1" width="8.7265625" style="255"/>
    <col min="2" max="2" width="1.54296875" style="255" customWidth="1"/>
    <col min="3" max="3" width="26.54296875" style="255" customWidth="1"/>
    <col min="4" max="4" width="20.1796875" style="255" customWidth="1"/>
    <col min="5" max="5" width="17.54296875" style="255" bestFit="1" customWidth="1"/>
    <col min="6" max="6" width="16.54296875" style="255" customWidth="1"/>
    <col min="7" max="7" width="23.81640625" style="255" customWidth="1"/>
    <col min="8" max="8" width="25" style="255" customWidth="1"/>
    <col min="9" max="9" width="24.54296875" style="255" customWidth="1"/>
    <col min="10" max="10" width="15.1796875" style="255" customWidth="1"/>
    <col min="11" max="11" width="2.453125" style="255" customWidth="1"/>
    <col min="12" max="15" width="8.7265625" style="255"/>
    <col min="16" max="16" width="10.26953125" style="255" customWidth="1"/>
    <col min="17" max="17" width="13.81640625" style="255" bestFit="1" customWidth="1"/>
    <col min="18" max="29" width="10.26953125" style="255" customWidth="1"/>
    <col min="30" max="16384" width="8.7265625" style="255"/>
  </cols>
  <sheetData>
    <row r="2" spans="2:11" ht="8.5" customHeight="1" x14ac:dyDescent="0.35">
      <c r="B2" s="252"/>
      <c r="C2" s="253"/>
      <c r="D2" s="253"/>
      <c r="E2" s="253"/>
      <c r="F2" s="253"/>
      <c r="G2" s="253"/>
      <c r="H2" s="253"/>
      <c r="I2" s="253"/>
      <c r="J2" s="253"/>
      <c r="K2" s="254"/>
    </row>
    <row r="3" spans="2:11" ht="18.5" x14ac:dyDescent="0.35">
      <c r="B3" s="256"/>
      <c r="C3" s="421" t="s">
        <v>332</v>
      </c>
      <c r="D3" s="421"/>
      <c r="E3" s="257"/>
      <c r="F3" s="257"/>
      <c r="G3" s="258"/>
      <c r="H3" s="258"/>
      <c r="I3" s="258"/>
      <c r="J3" s="258"/>
      <c r="K3" s="259"/>
    </row>
    <row r="4" spans="2:11" ht="18.5" x14ac:dyDescent="0.35">
      <c r="B4" s="256"/>
      <c r="C4" s="310" t="s">
        <v>90</v>
      </c>
      <c r="D4" s="311" t="str">
        <f>CTC!B3</f>
        <v>26-09</v>
      </c>
      <c r="E4" s="258"/>
      <c r="F4" s="258"/>
      <c r="G4" s="258"/>
      <c r="H4" s="258"/>
      <c r="I4" s="258"/>
      <c r="J4" s="258"/>
      <c r="K4" s="259"/>
    </row>
    <row r="5" spans="2:11" ht="20.149999999999999" customHeight="1" x14ac:dyDescent="0.35">
      <c r="B5" s="256"/>
      <c r="C5" s="181"/>
      <c r="D5" s="181"/>
      <c r="E5" s="258"/>
      <c r="F5" s="258"/>
      <c r="G5" s="258"/>
      <c r="H5" s="258"/>
      <c r="I5" s="258"/>
      <c r="J5" s="258"/>
      <c r="K5" s="259"/>
    </row>
    <row r="6" spans="2:11" x14ac:dyDescent="0.35">
      <c r="B6" s="256"/>
      <c r="C6" s="181" t="s">
        <v>91</v>
      </c>
      <c r="D6" s="181"/>
      <c r="E6" s="181"/>
      <c r="F6" s="181"/>
      <c r="G6" s="181"/>
      <c r="H6" s="258"/>
      <c r="K6" s="259"/>
    </row>
    <row r="7" spans="2:11" x14ac:dyDescent="0.35">
      <c r="B7" s="256"/>
      <c r="C7" s="422" t="s">
        <v>92</v>
      </c>
      <c r="D7" s="422"/>
      <c r="E7" s="422"/>
      <c r="F7" s="422"/>
      <c r="G7" s="422"/>
      <c r="H7" s="258"/>
      <c r="K7" s="259"/>
    </row>
    <row r="8" spans="2:11" x14ac:dyDescent="0.35">
      <c r="B8" s="256"/>
      <c r="C8" s="258"/>
      <c r="D8" s="258"/>
      <c r="E8" s="258"/>
      <c r="F8" s="258"/>
      <c r="G8" s="258"/>
      <c r="H8" s="258"/>
      <c r="J8" s="260"/>
      <c r="K8" s="261"/>
    </row>
    <row r="9" spans="2:11" x14ac:dyDescent="0.35">
      <c r="B9" s="256"/>
      <c r="C9" s="283" t="s">
        <v>93</v>
      </c>
      <c r="D9" s="284" t="s">
        <v>94</v>
      </c>
      <c r="E9" s="284" t="s">
        <v>95</v>
      </c>
      <c r="F9" s="278" t="s">
        <v>331</v>
      </c>
      <c r="G9" s="350" t="s">
        <v>96</v>
      </c>
      <c r="I9" s="444" t="s">
        <v>97</v>
      </c>
      <c r="J9" s="445"/>
      <c r="K9" s="262"/>
    </row>
    <row r="10" spans="2:11" x14ac:dyDescent="0.35">
      <c r="B10" s="256"/>
      <c r="C10" s="282" t="s">
        <v>98</v>
      </c>
      <c r="D10" s="280">
        <f>IF(SUMIFS('Raw Data Entry'!$G$2:$G$4964,'Raw Data Entry'!$A$2:$A$4964,"*"&amp;SUBSTITUTE(TRIM(SUBSTITUTE(D$9,CHAR(160),"")),"FY","")&amp;"-*")=0,"-",SUMIFS('Raw Data Entry'!$G$2:$G$4964,'Raw Data Entry'!$A$2:$A$4964,"*"&amp;SUBSTITUTE(TRIM(SUBSTITUTE(D$9,CHAR(160),"")),"FY","")&amp;"-*"))</f>
        <v>27695</v>
      </c>
      <c r="E10" s="280">
        <v>0</v>
      </c>
      <c r="F10" s="280">
        <v>0</v>
      </c>
      <c r="G10" s="351">
        <f>SUM(D10:E10)</f>
        <v>27695</v>
      </c>
      <c r="I10" s="318" t="s">
        <v>99</v>
      </c>
      <c r="J10" s="319">
        <v>772444.26418240007</v>
      </c>
      <c r="K10" s="261"/>
    </row>
    <row r="11" spans="2:11" x14ac:dyDescent="0.35">
      <c r="B11" s="256"/>
      <c r="C11" s="282" t="s">
        <v>100</v>
      </c>
      <c r="D11" s="280">
        <f>SUM(CTC!K11:P11)</f>
        <v>279308.64</v>
      </c>
      <c r="E11" s="280">
        <f>CTC!Q76</f>
        <v>1508914.8517368</v>
      </c>
      <c r="F11" s="280">
        <f>CTC!AC76</f>
        <v>2450076.8197575994</v>
      </c>
      <c r="G11" s="352">
        <f>SUM(D11:F11)</f>
        <v>4238300.3114943989</v>
      </c>
      <c r="I11" s="313" t="s">
        <v>101</v>
      </c>
      <c r="J11" s="316">
        <f>SUM(Contingency!C3:C21)</f>
        <v>0</v>
      </c>
      <c r="K11" s="261"/>
    </row>
    <row r="12" spans="2:11" x14ac:dyDescent="0.35">
      <c r="B12" s="256"/>
      <c r="C12" s="282" t="s">
        <v>102</v>
      </c>
      <c r="D12" s="280">
        <f>SUM(D10:D11)</f>
        <v>307003.64</v>
      </c>
      <c r="E12" s="280">
        <f>SUM(E10:E11)</f>
        <v>1508914.8517368</v>
      </c>
      <c r="F12" s="280">
        <f>SUM(F10:F11)</f>
        <v>2450076.8197575994</v>
      </c>
      <c r="G12" s="351">
        <f>SUM(D12:F12)</f>
        <v>4265995.3114943989</v>
      </c>
      <c r="I12" s="312" t="s">
        <v>103</v>
      </c>
      <c r="J12" s="315">
        <f>SUM(Contingency!E3:E21)</f>
        <v>0</v>
      </c>
      <c r="K12" s="261"/>
    </row>
    <row r="13" spans="2:11" x14ac:dyDescent="0.35">
      <c r="B13" s="256"/>
      <c r="C13" s="282" t="s">
        <v>104</v>
      </c>
      <c r="D13" s="280">
        <v>451963.56</v>
      </c>
      <c r="E13" s="280">
        <v>481600</v>
      </c>
      <c r="F13" s="280"/>
      <c r="G13" s="352">
        <f>SUM(D13:F13)</f>
        <v>933563.56</v>
      </c>
      <c r="I13" s="320" t="s">
        <v>105</v>
      </c>
      <c r="J13" s="316">
        <f>J10-J11-J12</f>
        <v>772444.26418240007</v>
      </c>
      <c r="K13" s="261"/>
    </row>
    <row r="14" spans="2:11" x14ac:dyDescent="0.35">
      <c r="B14" s="256"/>
      <c r="C14" s="327" t="s">
        <v>106</v>
      </c>
      <c r="D14" s="281">
        <f>D13-D12</f>
        <v>144959.91999999998</v>
      </c>
      <c r="E14" s="281">
        <f>E13-E12</f>
        <v>-1027314.8517368</v>
      </c>
      <c r="F14" s="281">
        <f>F13-F12</f>
        <v>-2450076.8197575994</v>
      </c>
      <c r="G14" s="353">
        <f>SUM(D14:F14)</f>
        <v>-3332431.7514943993</v>
      </c>
      <c r="I14" s="314"/>
      <c r="J14" s="317"/>
      <c r="K14" s="262"/>
    </row>
    <row r="15" spans="2:11" x14ac:dyDescent="0.35">
      <c r="B15" s="256"/>
      <c r="J15" s="253"/>
      <c r="K15" s="261"/>
    </row>
    <row r="16" spans="2:11" ht="16" thickBot="1" x14ac:dyDescent="0.4">
      <c r="B16" s="256"/>
      <c r="C16" s="250" t="s">
        <v>107</v>
      </c>
      <c r="D16" s="263"/>
      <c r="E16" s="263"/>
      <c r="F16" s="263"/>
      <c r="G16" s="263"/>
      <c r="H16" s="263"/>
      <c r="I16" s="263"/>
      <c r="J16" s="263"/>
      <c r="K16" s="261"/>
    </row>
    <row r="17" spans="2:11" ht="16" thickTop="1" x14ac:dyDescent="0.35">
      <c r="B17" s="256"/>
      <c r="C17" s="354"/>
      <c r="D17" s="355"/>
      <c r="E17" s="355"/>
      <c r="F17" s="355"/>
      <c r="G17" s="355"/>
      <c r="H17" s="355"/>
      <c r="I17" s="355"/>
      <c r="J17" s="355"/>
      <c r="K17" s="261"/>
    </row>
    <row r="18" spans="2:11" x14ac:dyDescent="0.35">
      <c r="B18" s="256"/>
      <c r="C18" s="323" t="s">
        <v>108</v>
      </c>
      <c r="D18" s="323"/>
      <c r="E18" s="323"/>
      <c r="F18" s="323"/>
      <c r="G18" s="323"/>
      <c r="H18" s="323"/>
      <c r="K18" s="261"/>
    </row>
    <row r="19" spans="2:11" ht="7" customHeight="1" x14ac:dyDescent="0.35">
      <c r="B19" s="256"/>
      <c r="C19" s="258"/>
      <c r="D19" s="258"/>
      <c r="E19" s="258"/>
      <c r="F19" s="258"/>
      <c r="G19" s="258"/>
      <c r="H19" s="258"/>
      <c r="I19" s="258"/>
      <c r="J19" s="264"/>
      <c r="K19" s="261"/>
    </row>
    <row r="20" spans="2:11" ht="46.5" x14ac:dyDescent="0.35">
      <c r="B20" s="256"/>
      <c r="C20" s="446" t="s">
        <v>109</v>
      </c>
      <c r="D20" s="285" t="s">
        <v>110</v>
      </c>
      <c r="E20" s="286" t="s">
        <v>111</v>
      </c>
      <c r="F20" s="286" t="s">
        <v>112</v>
      </c>
      <c r="G20" s="286" t="s">
        <v>113</v>
      </c>
      <c r="H20" s="286" t="s">
        <v>114</v>
      </c>
      <c r="I20" s="286" t="s">
        <v>115</v>
      </c>
      <c r="J20" s="287" t="s">
        <v>116</v>
      </c>
      <c r="K20" s="337"/>
    </row>
    <row r="21" spans="2:11" x14ac:dyDescent="0.35">
      <c r="B21" s="256"/>
      <c r="C21" s="447"/>
      <c r="D21" s="285" t="s">
        <v>73</v>
      </c>
      <c r="E21" s="286" t="s">
        <v>74</v>
      </c>
      <c r="F21" s="286" t="s">
        <v>117</v>
      </c>
      <c r="G21" s="286" t="s">
        <v>80</v>
      </c>
      <c r="H21" s="286" t="s">
        <v>81</v>
      </c>
      <c r="I21" s="286" t="s">
        <v>76</v>
      </c>
      <c r="J21" s="287" t="s">
        <v>78</v>
      </c>
      <c r="K21" s="338"/>
    </row>
    <row r="22" spans="2:11" x14ac:dyDescent="0.35">
      <c r="B22" s="256"/>
      <c r="C22" s="289" t="str" cm="1">
        <f t="array" ref="C22:C29">_xlfn._xlws.SORT(_xlfn.UNIQUE(_xlfn._xlws.FILTER(CTC!$C$11:$C$81,(CTC!$C$11:$C$81&lt;&gt;"")*(CTC!$A$11:$A$81&lt;&gt;""))))</f>
        <v>Close Out</v>
      </c>
      <c r="D22" s="265">
        <f>SUMIFS(CTC!$AU$11:$AU$77,CTC!$C$11:$C$77,$C22)</f>
        <v>46000</v>
      </c>
      <c r="E22" s="266">
        <f>SUMIFS(CTC!$AV$11:$AV$77,CTC!$C$11:$C$77,$C22)</f>
        <v>0</v>
      </c>
      <c r="F22" s="266">
        <f>SUMIFS(CTC!$AW$11:$AW$77,CTC!$C$11:$C$77,$C22)</f>
        <v>46000</v>
      </c>
      <c r="G22" s="266">
        <f>SUMIFS(CTC!$BC$11:$BC$77,CTC!$C$11:$C$77,$C22)</f>
        <v>46000</v>
      </c>
      <c r="H22" s="266">
        <f>SUMIFS(CTC!$BD$11:$BD$77,CTC!$C$11:$C$77,$C22)</f>
        <v>0</v>
      </c>
      <c r="I22" s="266">
        <f>SUMIFS(CTC!$AY$11:$AY$77,CTC!$C$11:$C$77,$C22)</f>
        <v>46000</v>
      </c>
      <c r="J22" s="266">
        <f>SUMIFS(CTC!$BA$11:$BA$77,CTC!$C$11:$C$77,$C22)</f>
        <v>0</v>
      </c>
      <c r="K22" s="338"/>
    </row>
    <row r="23" spans="2:11" x14ac:dyDescent="0.35">
      <c r="B23" s="256"/>
      <c r="C23" s="290" t="str">
        <v>Compliance</v>
      </c>
      <c r="D23" s="267">
        <f>SUMIFS(CTC!$AU$11:$AU$77,CTC!$C$11:$C$77,$C23)</f>
        <v>54710</v>
      </c>
      <c r="E23" s="268">
        <f>SUMIFS(CTC!$AV$11:$AV$77,CTC!$C$11:$C$77,$C23)</f>
        <v>0</v>
      </c>
      <c r="F23" s="268">
        <f>SUMIFS(CTC!$AW$11:$AW$77,CTC!$C$11:$C$77,$C23)</f>
        <v>54710</v>
      </c>
      <c r="G23" s="268">
        <f>SUMIFS(CTC!$BC$11:$BC$77,CTC!$C$11:$C$77,$C23)</f>
        <v>54710</v>
      </c>
      <c r="H23" s="268">
        <f>SUMIFS(CTC!$BD$11:$BD$77,CTC!$C$11:$C$77,$C23)</f>
        <v>0</v>
      </c>
      <c r="I23" s="268">
        <f>SUMIFS(CTC!$AY$11:$AY$77,CTC!$C$11:$C$77,$C23)</f>
        <v>54710</v>
      </c>
      <c r="J23" s="268">
        <f>SUMIFS(CTC!$BA$11:$BA$77,CTC!$C$11:$C$77,$C23)</f>
        <v>0</v>
      </c>
      <c r="K23" s="338"/>
    </row>
    <row r="24" spans="2:11" x14ac:dyDescent="0.35">
      <c r="B24" s="256"/>
      <c r="C24" s="291" t="str">
        <v>Construction</v>
      </c>
      <c r="D24" s="269">
        <f>SUMIFS(CTC!$AU$11:$AU$77,CTC!$C$11:$C$77,$C24)</f>
        <v>2256446.0373120001</v>
      </c>
      <c r="E24" s="270">
        <f>SUMIFS(CTC!$AV$11:$AV$77,CTC!$C$11:$C$77,$C24)</f>
        <v>0</v>
      </c>
      <c r="F24" s="270">
        <f>SUMIFS(CTC!$AW$11:$AW$77,CTC!$C$11:$C$77,$C24)</f>
        <v>2256446.0373120001</v>
      </c>
      <c r="G24" s="270">
        <f>SUMIFS(CTC!$BC$11:$BC$77,CTC!$C$11:$C$77,$C24)</f>
        <v>2256446.0373120001</v>
      </c>
      <c r="H24" s="270">
        <f>SUMIFS(CTC!$BD$11:$BD$77,CTC!$C$11:$C$77,$C24)</f>
        <v>0</v>
      </c>
      <c r="I24" s="270">
        <f>SUMIFS(CTC!$AY$11:$AY$77,CTC!$C$11:$C$77,$C24)</f>
        <v>2256446.0373120001</v>
      </c>
      <c r="J24" s="270">
        <f>SUMIFS(CTC!$BA$11:$BA$77,CTC!$C$11:$C$77,$C24)</f>
        <v>0</v>
      </c>
      <c r="K24" s="338"/>
    </row>
    <row r="25" spans="2:11" x14ac:dyDescent="0.35">
      <c r="B25" s="256"/>
      <c r="C25" s="290" t="str">
        <v>Contigency</v>
      </c>
      <c r="D25" s="267">
        <f>SUMIFS(CTC!$AU$11:$AU$77,CTC!$C$11:$C$77,$C25)</f>
        <v>772444.26418240007</v>
      </c>
      <c r="E25" s="268">
        <f>SUMIFS(CTC!$AV$11:$AV$77,CTC!$C$11:$C$77,$C25)</f>
        <v>0</v>
      </c>
      <c r="F25" s="268">
        <f>SUMIFS(CTC!$AW$11:$AW$77,CTC!$C$11:$C$77,$C25)</f>
        <v>772444.26418240007</v>
      </c>
      <c r="G25" s="268">
        <f>SUMIFS(CTC!$BC$11:$BC$77,CTC!$C$11:$C$77,$C25)</f>
        <v>772444.26418240007</v>
      </c>
      <c r="H25" s="268">
        <f>SUMIFS(CTC!$BD$11:$BD$77,CTC!$C$11:$C$77,$C25)</f>
        <v>0</v>
      </c>
      <c r="I25" s="268">
        <f>SUMIFS(CTC!$AY$11:$AY$77,CTC!$C$11:$C$77,$C25)</f>
        <v>772444.26418240007</v>
      </c>
      <c r="J25" s="268">
        <f>SUMIFS(CTC!$BA$11:$BA$77,CTC!$C$11:$C$77,$C25)</f>
        <v>0</v>
      </c>
      <c r="K25" s="338"/>
    </row>
    <row r="26" spans="2:11" x14ac:dyDescent="0.35">
      <c r="B26" s="256"/>
      <c r="C26" s="291" t="str">
        <v>Design Consultants</v>
      </c>
      <c r="D26" s="269">
        <f>SUMIFS(CTC!$AU$11:$AU$77,CTC!$C$11:$C$77,$C26)</f>
        <v>390000</v>
      </c>
      <c r="E26" s="270">
        <f>SUMIFS(CTC!$AV$11:$AV$77,CTC!$C$11:$C$77,$C26)</f>
        <v>0</v>
      </c>
      <c r="F26" s="270">
        <f>SUMIFS(CTC!$AW$11:$AW$77,CTC!$C$11:$C$77,$C26)</f>
        <v>390000</v>
      </c>
      <c r="G26" s="270">
        <f>SUMIFS(CTC!$BC$11:$BC$77,CTC!$C$11:$C$77,$C26)</f>
        <v>390000</v>
      </c>
      <c r="H26" s="270">
        <f>SUMIFS(CTC!$BD$11:$BD$77,CTC!$C$11:$C$77,$C26)</f>
        <v>0</v>
      </c>
      <c r="I26" s="270">
        <f>SUMIFS(CTC!$AY$11:$AY$77,CTC!$C$11:$C$77,$C26)</f>
        <v>390000</v>
      </c>
      <c r="J26" s="270">
        <f>SUMIFS(CTC!$BA$11:$BA$77,CTC!$C$11:$C$77,$C26)</f>
        <v>0</v>
      </c>
      <c r="K26" s="338"/>
    </row>
    <row r="27" spans="2:11" x14ac:dyDescent="0.35">
      <c r="B27" s="256"/>
      <c r="C27" s="290" t="str">
        <v>Internal Staff Costs</v>
      </c>
      <c r="D27" s="267">
        <f>SUMIFS(CTC!$AU$11:$AU$77,CTC!$C$11:$C$77,$C27)</f>
        <v>28700</v>
      </c>
      <c r="E27" s="268">
        <f>SUMIFS(CTC!$AV$11:$AV$77,CTC!$C$11:$C$77,$C27)</f>
        <v>5075</v>
      </c>
      <c r="F27" s="268">
        <f>SUMIFS(CTC!$AW$11:$AW$77,CTC!$C$11:$C$77,$C27)</f>
        <v>33775</v>
      </c>
      <c r="G27" s="268">
        <f>SUMIFS(CTC!$BC$11:$BC$77,CTC!$C$11:$C$77,$C27)</f>
        <v>33775</v>
      </c>
      <c r="H27" s="268">
        <f>SUMIFS(CTC!$BD$11:$BD$77,CTC!$C$11:$C$77,$C27)</f>
        <v>0</v>
      </c>
      <c r="I27" s="268">
        <f>SUMIFS(CTC!$AY$11:$AY$77,CTC!$C$11:$C$77,$C27)</f>
        <v>33775</v>
      </c>
      <c r="J27" s="268">
        <f>SUMIFS(CTC!$BA$11:$BA$77,CTC!$C$11:$C$77,$C27)</f>
        <v>0</v>
      </c>
      <c r="K27" s="338"/>
    </row>
    <row r="28" spans="2:11" x14ac:dyDescent="0.35">
      <c r="B28" s="256"/>
      <c r="C28" s="291" t="str">
        <v>Iwi Engagement</v>
      </c>
      <c r="D28" s="269">
        <f>SUMIFS(CTC!$AU$11:$AU$77,CTC!$C$11:$C$77,$C28)</f>
        <v>38180.01</v>
      </c>
      <c r="E28" s="270">
        <f>SUMIFS(CTC!$AV$11:$AV$77,CTC!$C$11:$C$77,$C28)</f>
        <v>0</v>
      </c>
      <c r="F28" s="270">
        <f>SUMIFS(CTC!$AW$11:$AW$77,CTC!$C$11:$C$77,$C28)</f>
        <v>38180.01</v>
      </c>
      <c r="G28" s="270">
        <f>SUMIFS(CTC!$BC$11:$BC$77,CTC!$C$11:$C$77,$C28)</f>
        <v>38180.01</v>
      </c>
      <c r="H28" s="270">
        <f>SUMIFS(CTC!$BD$11:$BD$77,CTC!$C$11:$C$77,$C28)</f>
        <v>0</v>
      </c>
      <c r="I28" s="270">
        <f>SUMIFS(CTC!$AY$11:$AY$77,CTC!$C$11:$C$77,$C28)</f>
        <v>38180.01</v>
      </c>
      <c r="J28" s="270">
        <f>SUMIFS(CTC!$BA$11:$BA$77,CTC!$C$11:$C$77,$C28)</f>
        <v>0</v>
      </c>
      <c r="K28" s="338"/>
    </row>
    <row r="29" spans="2:11" x14ac:dyDescent="0.35">
      <c r="B29" s="256"/>
      <c r="C29" s="290" t="str">
        <v>Project Management</v>
      </c>
      <c r="D29" s="267">
        <f>SUMIFS(CTC!$AU$11:$AU$77,CTC!$C$11:$C$77,$C29)</f>
        <v>651820</v>
      </c>
      <c r="E29" s="268">
        <f>SUMIFS(CTC!$AV$11:$AV$77,CTC!$C$11:$C$77,$C29)</f>
        <v>22620</v>
      </c>
      <c r="F29" s="268">
        <f>SUMIFS(CTC!$AW$11:$AW$77,CTC!$C$11:$C$77,$C29)</f>
        <v>674440</v>
      </c>
      <c r="G29" s="268">
        <f>SUMIFS(CTC!$BC$11:$BC$77,CTC!$C$11:$C$77,$C29)</f>
        <v>674440</v>
      </c>
      <c r="H29" s="268">
        <f>SUMIFS(CTC!$BD$11:$BD$77,CTC!$C$11:$C$77,$C29)</f>
        <v>0</v>
      </c>
      <c r="I29" s="268">
        <f>SUMIFS(CTC!$AY$11:$AY$77,CTC!$C$11:$C$77,$C29)</f>
        <v>674440</v>
      </c>
      <c r="J29" s="268">
        <f>SUMIFS(CTC!$BA$11:$BA$77,CTC!$C$11:$C$77,$C29)</f>
        <v>0</v>
      </c>
      <c r="K29" s="338"/>
    </row>
    <row r="30" spans="2:11" x14ac:dyDescent="0.35">
      <c r="B30" s="256"/>
      <c r="C30" s="291"/>
      <c r="D30" s="269">
        <f>SUMIFS(CTC!$AU$11:$AU$77,CTC!$C$11:$C$77,$C30)</f>
        <v>0</v>
      </c>
      <c r="E30" s="270">
        <f>SUMIFS(CTC!$AV$11:$AV$77,CTC!$C$11:$C$77,$C30)</f>
        <v>0</v>
      </c>
      <c r="F30" s="270">
        <f>SUMIFS(CTC!$AW$11:$AW$77,CTC!$C$11:$C$77,$C30)</f>
        <v>0</v>
      </c>
      <c r="G30" s="270">
        <f>SUMIFS(CTC!$BC$11:$BC$77,CTC!$C$11:$C$77,$C30)</f>
        <v>0</v>
      </c>
      <c r="H30" s="270">
        <f>SUMIFS(CTC!$BD$11:$BD$77,CTC!$C$11:$C$77,$C30)</f>
        <v>0</v>
      </c>
      <c r="I30" s="270">
        <f>SUMIFS(CTC!$AY$11:$AY$77,CTC!$C$11:$C$77,$C30)</f>
        <v>0</v>
      </c>
      <c r="J30" s="270">
        <f>SUMIFS(CTC!$BA$11:$BA$77,CTC!$C$11:$C$77,$C30)</f>
        <v>0</v>
      </c>
      <c r="K30" s="338"/>
    </row>
    <row r="31" spans="2:11" x14ac:dyDescent="0.35">
      <c r="B31" s="256"/>
      <c r="C31" s="290"/>
      <c r="D31" s="267">
        <f>SUMIFS(CTC!$AU$11:$AU$77,CTC!$C$11:$C$77,$C31)</f>
        <v>0</v>
      </c>
      <c r="E31" s="268">
        <f>SUMIFS(CTC!$AV$11:$AV$77,CTC!$C$11:$C$77,$C31)</f>
        <v>0</v>
      </c>
      <c r="F31" s="268">
        <f>SUMIFS(CTC!$AW$11:$AW$77,CTC!$C$11:$C$77,$C31)</f>
        <v>0</v>
      </c>
      <c r="G31" s="268">
        <f>SUMIFS(CTC!$BC$11:$BC$77,CTC!$C$11:$C$77,$C31)</f>
        <v>0</v>
      </c>
      <c r="H31" s="268">
        <f>SUMIFS(CTC!$BD$11:$BD$77,CTC!$C$11:$C$77,$C31)</f>
        <v>0</v>
      </c>
      <c r="I31" s="268">
        <f>SUMIFS(CTC!$AY$11:$AY$77,CTC!$C$11:$C$77,$C31)</f>
        <v>0</v>
      </c>
      <c r="J31" s="268">
        <f>SUMIFS(CTC!$BA$11:$BA$77,CTC!$C$11:$C$77,$C31)</f>
        <v>0</v>
      </c>
      <c r="K31" s="338"/>
    </row>
    <row r="32" spans="2:11" x14ac:dyDescent="0.35">
      <c r="B32" s="256"/>
      <c r="C32" s="292"/>
      <c r="D32" s="271">
        <f>SUMIFS(CTC!$AU$11:$AU$77,CTC!$C$11:$C$77,$C32)</f>
        <v>0</v>
      </c>
      <c r="E32" s="272">
        <f>SUMIFS(CTC!$AV$11:$AV$77,CTC!$C$11:$C$77,$C32)</f>
        <v>0</v>
      </c>
      <c r="F32" s="272">
        <f>SUMIFS(CTC!$AW$11:$AW$77,CTC!$C$11:$C$77,$C32)</f>
        <v>0</v>
      </c>
      <c r="G32" s="272">
        <f>SUMIFS(CTC!$BC$11:$BC$77,CTC!$C$11:$C$77,$C32)</f>
        <v>0</v>
      </c>
      <c r="H32" s="272">
        <f>SUMIFS(CTC!$BD$11:$BD$77,CTC!$C$11:$C$77,$C32)</f>
        <v>0</v>
      </c>
      <c r="I32" s="272">
        <f>SUMIFS(CTC!$AY$11:$AY$77,CTC!$C$11:$C$77,$C32)</f>
        <v>0</v>
      </c>
      <c r="J32" s="272">
        <f>SUMIFS(CTC!$BA$11:$BA$77,CTC!$C$11:$C$77,$C32)</f>
        <v>0</v>
      </c>
      <c r="K32" s="338"/>
    </row>
    <row r="33" spans="2:11" x14ac:dyDescent="0.35">
      <c r="B33" s="256"/>
      <c r="C33" s="321" t="s">
        <v>118</v>
      </c>
      <c r="D33" s="322">
        <f t="shared" ref="D33:J33" si="0">SUM(D22:D32)</f>
        <v>4238300.3114943998</v>
      </c>
      <c r="E33" s="321">
        <f t="shared" si="0"/>
        <v>27695</v>
      </c>
      <c r="F33" s="321">
        <f t="shared" si="0"/>
        <v>4265995.3114943998</v>
      </c>
      <c r="G33" s="321">
        <f t="shared" si="0"/>
        <v>4265995.3114943998</v>
      </c>
      <c r="H33" s="321">
        <f t="shared" si="0"/>
        <v>0</v>
      </c>
      <c r="I33" s="321">
        <f t="shared" si="0"/>
        <v>4265995.3114943998</v>
      </c>
      <c r="J33" s="321">
        <f t="shared" si="0"/>
        <v>0</v>
      </c>
      <c r="K33" s="338"/>
    </row>
    <row r="34" spans="2:11" x14ac:dyDescent="0.35">
      <c r="B34" s="256"/>
      <c r="C34" s="258"/>
      <c r="D34" s="258"/>
      <c r="E34" s="258"/>
      <c r="F34" s="258"/>
      <c r="G34" s="258"/>
      <c r="H34" s="258"/>
      <c r="I34" s="258"/>
      <c r="J34" s="258"/>
      <c r="K34" s="339"/>
    </row>
    <row r="35" spans="2:11" x14ac:dyDescent="0.35">
      <c r="B35" s="256"/>
      <c r="C35" s="181" t="s">
        <v>119</v>
      </c>
      <c r="D35" s="258"/>
      <c r="E35" s="258"/>
      <c r="F35" s="258"/>
      <c r="G35" s="258"/>
      <c r="H35" s="258"/>
      <c r="I35" s="258"/>
      <c r="J35" s="258"/>
      <c r="K35" s="339"/>
    </row>
    <row r="36" spans="2:11" ht="5.5" customHeight="1" x14ac:dyDescent="0.35">
      <c r="B36" s="256"/>
      <c r="C36" s="258"/>
      <c r="D36" s="258"/>
      <c r="E36" s="258"/>
      <c r="F36" s="258"/>
      <c r="G36" s="258"/>
      <c r="H36" s="258"/>
      <c r="I36" s="258"/>
      <c r="J36" s="258"/>
      <c r="K36" s="259"/>
    </row>
    <row r="37" spans="2:11" ht="37.5" customHeight="1" x14ac:dyDescent="0.35">
      <c r="B37" s="256"/>
      <c r="C37" s="458" t="s">
        <v>109</v>
      </c>
      <c r="D37" s="324" t="s">
        <v>120</v>
      </c>
      <c r="E37" s="324" t="s">
        <v>121</v>
      </c>
      <c r="F37" s="450" t="s">
        <v>122</v>
      </c>
      <c r="G37" s="451"/>
      <c r="H37" s="451"/>
      <c r="I37" s="451"/>
      <c r="J37" s="452"/>
      <c r="K37" s="301"/>
    </row>
    <row r="38" spans="2:11" ht="31" customHeight="1" x14ac:dyDescent="0.35">
      <c r="B38" s="256"/>
      <c r="C38" s="459"/>
      <c r="D38" s="325" t="s">
        <v>81</v>
      </c>
      <c r="E38" s="326" t="s">
        <v>78</v>
      </c>
      <c r="F38" s="418" t="s">
        <v>71</v>
      </c>
      <c r="G38" s="420"/>
      <c r="H38" s="418" t="s">
        <v>72</v>
      </c>
      <c r="I38" s="419"/>
      <c r="J38" s="420"/>
      <c r="K38" s="301"/>
    </row>
    <row r="39" spans="2:11" x14ac:dyDescent="0.35">
      <c r="B39" s="256"/>
      <c r="C39" s="298" t="str" cm="1">
        <f t="array" ref="C39:C46">_xlfn._xlws.SORT(_xlfn.UNIQUE(_xlfn._xlws.FILTER(CTC!$C$11:$C$77,(CTC!$C$11:$C$77&lt;&gt;"")*(CTC!$A$11:$A$77&lt;&gt;""))))</f>
        <v>Close Out</v>
      </c>
      <c r="D39" s="299">
        <f>SUMIFS(CTC!$BD$11:$BD$77,CTC!$C$11:$C$77,$C39)</f>
        <v>0</v>
      </c>
      <c r="E39" s="300">
        <f>SUMIFS(CTC!$BA$11:$BA$77,CTC!$C$11:$C$77,$C39)</f>
        <v>0</v>
      </c>
      <c r="F39" s="453"/>
      <c r="G39" s="454"/>
      <c r="H39" s="455"/>
      <c r="I39" s="456"/>
      <c r="J39" s="457"/>
      <c r="K39" s="301"/>
    </row>
    <row r="40" spans="2:11" x14ac:dyDescent="0.35">
      <c r="B40" s="256"/>
      <c r="C40" s="297" t="str">
        <v>Compliance</v>
      </c>
      <c r="D40" s="295">
        <f>SUMIFS(CTC!$BD$11:$BD$77,CTC!$C$11:$C$77,$C40)</f>
        <v>0</v>
      </c>
      <c r="E40" s="274">
        <f>SUMIFS(CTC!$BA$11:$BA$77,CTC!$C$11:$C$77,$C40)</f>
        <v>0</v>
      </c>
      <c r="F40" s="440"/>
      <c r="G40" s="441"/>
      <c r="H40" s="426"/>
      <c r="I40" s="427"/>
      <c r="J40" s="428"/>
      <c r="K40" s="301"/>
    </row>
    <row r="41" spans="2:11" ht="15.65" customHeight="1" x14ac:dyDescent="0.35">
      <c r="B41" s="256"/>
      <c r="C41" s="296" t="str">
        <v>Construction</v>
      </c>
      <c r="D41" s="294">
        <f>SUMIFS(CTC!$BD$11:$BD$77,CTC!$C$11:$C$77,$C41)</f>
        <v>0</v>
      </c>
      <c r="E41" s="273">
        <f>SUMIFS(CTC!$BA$11:$BA$77,CTC!$C$11:$C$77,$C41)</f>
        <v>0</v>
      </c>
      <c r="F41" s="432"/>
      <c r="G41" s="433"/>
      <c r="H41" s="429"/>
      <c r="I41" s="430"/>
      <c r="J41" s="431"/>
      <c r="K41" s="301"/>
    </row>
    <row r="42" spans="2:11" x14ac:dyDescent="0.35">
      <c r="B42" s="256"/>
      <c r="C42" s="297" t="str">
        <v>Contigency</v>
      </c>
      <c r="D42" s="295">
        <f>SUMIFS(CTC!$BD$11:$BD$77,CTC!$C$11:$C$77,$C42)</f>
        <v>0</v>
      </c>
      <c r="E42" s="274">
        <f>SUMIFS(CTC!$BA$11:$BA$77,CTC!$C$11:$C$77,$C42)</f>
        <v>0</v>
      </c>
      <c r="F42" s="440"/>
      <c r="G42" s="441"/>
      <c r="H42" s="426"/>
      <c r="I42" s="427"/>
      <c r="J42" s="428"/>
      <c r="K42" s="301"/>
    </row>
    <row r="43" spans="2:11" ht="27.65" customHeight="1" x14ac:dyDescent="0.35">
      <c r="B43" s="256"/>
      <c r="C43" s="296" t="str">
        <v>Design Consultants</v>
      </c>
      <c r="D43" s="294">
        <f>SUMIFS(CTC!$BD$11:$BD$77,CTC!$C$11:$C$77,$C43)</f>
        <v>0</v>
      </c>
      <c r="E43" s="273">
        <f>SUMIFS(CTC!$BA$11:$BA$77,CTC!$C$11:$C$77,$C43)</f>
        <v>0</v>
      </c>
      <c r="F43" s="432"/>
      <c r="G43" s="433"/>
      <c r="H43" s="429"/>
      <c r="I43" s="430"/>
      <c r="J43" s="431"/>
      <c r="K43" s="301"/>
    </row>
    <row r="44" spans="2:11" ht="37.5" customHeight="1" x14ac:dyDescent="0.35">
      <c r="B44" s="256"/>
      <c r="C44" s="297" t="str">
        <v>Internal Staff Costs</v>
      </c>
      <c r="D44" s="295">
        <f>SUMIFS(CTC!$BD$11:$BD$77,CTC!$C$11:$C$77,$C44)</f>
        <v>0</v>
      </c>
      <c r="E44" s="274">
        <f>SUMIFS(CTC!$BA$11:$BA$77,CTC!$C$11:$C$77,$C44)</f>
        <v>0</v>
      </c>
      <c r="F44" s="440"/>
      <c r="G44" s="441"/>
      <c r="H44" s="426"/>
      <c r="I44" s="427"/>
      <c r="J44" s="428"/>
      <c r="K44" s="301"/>
    </row>
    <row r="45" spans="2:11" x14ac:dyDescent="0.35">
      <c r="B45" s="256"/>
      <c r="C45" s="296" t="str">
        <v>Iwi Engagement</v>
      </c>
      <c r="D45" s="294">
        <f>SUMIFS(CTC!$BD$11:$BD$77,CTC!$C$11:$C$77,$C45)</f>
        <v>0</v>
      </c>
      <c r="E45" s="273">
        <f>SUMIFS(CTC!$BA$11:$BA$77,CTC!$C$11:$C$77,$C45)</f>
        <v>0</v>
      </c>
      <c r="F45" s="432"/>
      <c r="G45" s="433"/>
      <c r="H45" s="429"/>
      <c r="I45" s="430"/>
      <c r="J45" s="431"/>
      <c r="K45" s="301"/>
    </row>
    <row r="46" spans="2:11" x14ac:dyDescent="0.35">
      <c r="B46" s="256"/>
      <c r="C46" s="297" t="str">
        <v>Project Management</v>
      </c>
      <c r="D46" s="295">
        <f>SUMIFS(CTC!$BD$11:$BD$77,CTC!$C$11:$C$77,$C46)</f>
        <v>0</v>
      </c>
      <c r="E46" s="274">
        <f>SUMIFS(CTC!$BA$11:$BA$77,CTC!$C$11:$C$77,$C46)</f>
        <v>0</v>
      </c>
      <c r="F46" s="440"/>
      <c r="G46" s="441"/>
      <c r="H46" s="426"/>
      <c r="I46" s="427"/>
      <c r="J46" s="428"/>
      <c r="K46" s="301"/>
    </row>
    <row r="47" spans="2:11" x14ac:dyDescent="0.35">
      <c r="B47" s="256"/>
      <c r="C47" s="296"/>
      <c r="D47" s="294">
        <f>SUMIFS(CTC!$BD$11:$BD$77,CTC!$C$11:$C$77,$C47)</f>
        <v>0</v>
      </c>
      <c r="E47" s="273">
        <f>SUMIFS(CTC!$BA$11:$BA$77,CTC!$C$11:$C$77,$C47)</f>
        <v>0</v>
      </c>
      <c r="F47" s="432"/>
      <c r="G47" s="433"/>
      <c r="H47" s="429"/>
      <c r="I47" s="430"/>
      <c r="J47" s="431"/>
      <c r="K47" s="301"/>
    </row>
    <row r="48" spans="2:11" ht="32.15" customHeight="1" x14ac:dyDescent="0.35">
      <c r="B48" s="256"/>
      <c r="C48" s="297"/>
      <c r="D48" s="295">
        <f>SUMIFS(CTC!$BD$11:$BD$77,CTC!$C$11:$C$77,$C48)</f>
        <v>0</v>
      </c>
      <c r="E48" s="274">
        <f>SUMIFS(CTC!$BA$11:$BA$77,CTC!$C$11:$C$77,$C48)</f>
        <v>0</v>
      </c>
      <c r="F48" s="426"/>
      <c r="G48" s="428"/>
      <c r="H48" s="426"/>
      <c r="I48" s="427"/>
      <c r="J48" s="428"/>
      <c r="K48" s="301"/>
    </row>
    <row r="49" spans="2:11" ht="34.5" customHeight="1" x14ac:dyDescent="0.35">
      <c r="B49" s="256"/>
      <c r="C49" s="340"/>
      <c r="D49" s="341">
        <f>SUMIFS(CTC!$BD$11:$BD$77,CTC!$C$11:$C$77,$C49)</f>
        <v>0</v>
      </c>
      <c r="E49" s="342">
        <f>SUMIFS(CTC!$BA$11:$BA$77,CTC!$C$11:$C$77,$C49)</f>
        <v>0</v>
      </c>
      <c r="F49" s="438"/>
      <c r="G49" s="439"/>
      <c r="H49" s="423"/>
      <c r="I49" s="424"/>
      <c r="J49" s="425"/>
      <c r="K49" s="301"/>
    </row>
    <row r="50" spans="2:11" x14ac:dyDescent="0.35">
      <c r="B50" s="256"/>
      <c r="C50" s="321" t="s">
        <v>118</v>
      </c>
      <c r="D50" s="322">
        <f t="shared" ref="D50" si="1">SUM(D39:D49)</f>
        <v>0</v>
      </c>
      <c r="E50" s="321">
        <f>SUM(E39:E49)</f>
        <v>0</v>
      </c>
      <c r="F50" s="251"/>
      <c r="G50" s="288"/>
      <c r="H50" s="251"/>
      <c r="I50" s="293"/>
      <c r="J50" s="288"/>
      <c r="K50" s="301"/>
    </row>
    <row r="51" spans="2:11" x14ac:dyDescent="0.35">
      <c r="B51" s="256"/>
      <c r="C51" s="258"/>
      <c r="D51" s="258"/>
      <c r="E51" s="258"/>
      <c r="F51" s="258"/>
      <c r="G51" s="258"/>
      <c r="H51" s="258"/>
      <c r="I51" s="258"/>
      <c r="J51" s="258"/>
      <c r="K51" s="259"/>
    </row>
    <row r="52" spans="2:11" ht="16" thickBot="1" x14ac:dyDescent="0.4">
      <c r="B52" s="256"/>
      <c r="C52" s="250" t="s">
        <v>123</v>
      </c>
      <c r="D52" s="263"/>
      <c r="E52" s="263"/>
      <c r="F52" s="263"/>
      <c r="G52" s="263"/>
      <c r="H52" s="263"/>
      <c r="I52" s="263"/>
      <c r="J52" s="263"/>
      <c r="K52" s="259"/>
    </row>
    <row r="53" spans="2:11" ht="16" thickTop="1" x14ac:dyDescent="0.35">
      <c r="B53" s="256"/>
      <c r="C53" s="323" t="s">
        <v>124</v>
      </c>
      <c r="D53" s="323"/>
      <c r="E53" s="323"/>
      <c r="F53" s="323"/>
      <c r="H53" s="89"/>
      <c r="K53" s="259"/>
    </row>
    <row r="54" spans="2:11" ht="5.5" customHeight="1" thickBot="1" x14ac:dyDescent="0.4">
      <c r="B54" s="256"/>
      <c r="C54" s="258"/>
      <c r="D54" s="258"/>
      <c r="E54" s="258"/>
      <c r="F54" s="258"/>
      <c r="G54" s="258"/>
      <c r="H54" s="258"/>
      <c r="I54" s="258"/>
      <c r="J54" s="258"/>
      <c r="K54" s="259"/>
    </row>
    <row r="55" spans="2:11" ht="16" thickBot="1" x14ac:dyDescent="0.4">
      <c r="B55" s="256"/>
      <c r="C55" s="302" t="s">
        <v>125</v>
      </c>
      <c r="D55" s="275"/>
      <c r="E55" s="302" t="s">
        <v>19</v>
      </c>
      <c r="F55" s="302" t="s">
        <v>126</v>
      </c>
      <c r="G55" s="302" t="s">
        <v>127</v>
      </c>
      <c r="H55" s="302" t="s">
        <v>16</v>
      </c>
      <c r="I55" s="275"/>
      <c r="J55" s="275"/>
      <c r="K55" s="259"/>
    </row>
    <row r="56" spans="2:11" ht="30" customHeight="1" x14ac:dyDescent="0.35">
      <c r="B56" s="256"/>
      <c r="C56" s="448" t="s">
        <v>128</v>
      </c>
      <c r="D56" s="449"/>
      <c r="E56" s="303" t="s">
        <v>129</v>
      </c>
      <c r="F56" s="307"/>
      <c r="G56" s="303"/>
      <c r="H56" s="442"/>
      <c r="I56" s="443"/>
      <c r="J56" s="443"/>
      <c r="K56" s="259"/>
    </row>
    <row r="57" spans="2:11" ht="34" customHeight="1" x14ac:dyDescent="0.35">
      <c r="B57" s="256"/>
      <c r="C57" s="436" t="s">
        <v>132</v>
      </c>
      <c r="D57" s="437"/>
      <c r="E57" s="304" t="s">
        <v>129</v>
      </c>
      <c r="F57" s="308"/>
      <c r="G57" s="304"/>
      <c r="H57" s="460"/>
      <c r="I57" s="461"/>
      <c r="J57" s="461"/>
      <c r="K57" s="259"/>
    </row>
    <row r="58" spans="2:11" ht="28.5" customHeight="1" x14ac:dyDescent="0.35">
      <c r="B58" s="256"/>
      <c r="C58" s="434" t="s">
        <v>134</v>
      </c>
      <c r="D58" s="435"/>
      <c r="E58" s="305" t="s">
        <v>129</v>
      </c>
      <c r="F58" s="309"/>
      <c r="G58" s="305"/>
      <c r="H58" s="464"/>
      <c r="I58" s="465"/>
      <c r="J58" s="465"/>
      <c r="K58" s="259"/>
    </row>
    <row r="59" spans="2:11" x14ac:dyDescent="0.35">
      <c r="B59" s="256"/>
      <c r="C59" s="436" t="s">
        <v>136</v>
      </c>
      <c r="D59" s="437"/>
      <c r="E59" s="304"/>
      <c r="F59" s="308"/>
      <c r="G59" s="304"/>
      <c r="H59" s="460"/>
      <c r="I59" s="461"/>
      <c r="J59" s="461"/>
      <c r="K59" s="259"/>
    </row>
    <row r="60" spans="2:11" x14ac:dyDescent="0.35">
      <c r="B60" s="256"/>
      <c r="C60" s="305"/>
      <c r="D60" s="276"/>
      <c r="E60" s="305"/>
      <c r="F60" s="309"/>
      <c r="G60" s="305"/>
      <c r="H60" s="333"/>
      <c r="I60" s="334"/>
      <c r="J60" s="334"/>
      <c r="K60" s="259"/>
    </row>
    <row r="61" spans="2:11" x14ac:dyDescent="0.35">
      <c r="B61" s="256"/>
      <c r="C61" s="436"/>
      <c r="D61" s="437"/>
      <c r="E61" s="304"/>
      <c r="F61" s="308"/>
      <c r="G61" s="304"/>
      <c r="H61" s="460"/>
      <c r="I61" s="461"/>
      <c r="J61" s="461"/>
      <c r="K61" s="259"/>
    </row>
    <row r="62" spans="2:11" x14ac:dyDescent="0.35">
      <c r="B62" s="256"/>
      <c r="C62" s="434"/>
      <c r="D62" s="435"/>
      <c r="E62" s="305"/>
      <c r="F62" s="305"/>
      <c r="G62" s="305"/>
      <c r="H62" s="333"/>
      <c r="I62" s="334"/>
      <c r="J62" s="334"/>
      <c r="K62" s="259"/>
    </row>
    <row r="63" spans="2:11" ht="16" thickBot="1" x14ac:dyDescent="0.4">
      <c r="B63" s="256"/>
      <c r="C63" s="470"/>
      <c r="D63" s="471"/>
      <c r="E63" s="306"/>
      <c r="F63" s="306"/>
      <c r="G63" s="306"/>
      <c r="H63" s="462"/>
      <c r="I63" s="463"/>
      <c r="J63" s="463"/>
      <c r="K63" s="259"/>
    </row>
    <row r="64" spans="2:11" x14ac:dyDescent="0.35">
      <c r="B64" s="256"/>
      <c r="K64" s="259"/>
    </row>
    <row r="65" spans="2:11" ht="16" thickBot="1" x14ac:dyDescent="0.4">
      <c r="B65" s="256"/>
      <c r="C65" s="250" t="s">
        <v>137</v>
      </c>
      <c r="D65" s="263"/>
      <c r="E65" s="263"/>
      <c r="F65" s="263"/>
      <c r="G65" s="263"/>
      <c r="H65" s="263"/>
      <c r="I65" s="263"/>
      <c r="J65" s="263"/>
      <c r="K65" s="259"/>
    </row>
    <row r="66" spans="2:11" ht="16" thickTop="1" x14ac:dyDescent="0.35">
      <c r="B66" s="256"/>
      <c r="C66" s="255" t="s">
        <v>138</v>
      </c>
      <c r="H66" s="89"/>
      <c r="K66" s="259"/>
    </row>
    <row r="67" spans="2:11" ht="16" thickBot="1" x14ac:dyDescent="0.4">
      <c r="B67" s="256"/>
      <c r="H67" s="89"/>
      <c r="K67" s="259"/>
    </row>
    <row r="68" spans="2:11" x14ac:dyDescent="0.35">
      <c r="B68" s="256"/>
      <c r="C68" s="482" t="s">
        <v>125</v>
      </c>
      <c r="D68" s="483"/>
      <c r="E68" s="332" t="s">
        <v>19</v>
      </c>
      <c r="F68" s="332" t="s">
        <v>126</v>
      </c>
      <c r="G68" s="474" t="s">
        <v>16</v>
      </c>
      <c r="H68" s="475"/>
      <c r="K68" s="259"/>
    </row>
    <row r="69" spans="2:11" x14ac:dyDescent="0.35">
      <c r="B69" s="256"/>
      <c r="C69" s="477" t="s">
        <v>139</v>
      </c>
      <c r="D69" s="481"/>
      <c r="E69" s="331"/>
      <c r="F69" s="331"/>
      <c r="G69" s="477"/>
      <c r="H69" s="478"/>
      <c r="K69" s="259"/>
    </row>
    <row r="70" spans="2:11" x14ac:dyDescent="0.35">
      <c r="B70" s="256"/>
      <c r="C70" s="466" t="s">
        <v>142</v>
      </c>
      <c r="D70" s="467"/>
      <c r="E70" s="329"/>
      <c r="F70" s="329"/>
      <c r="G70" s="466"/>
      <c r="H70" s="479"/>
      <c r="K70" s="259"/>
    </row>
    <row r="71" spans="2:11" x14ac:dyDescent="0.35">
      <c r="B71" s="256"/>
      <c r="C71" s="468" t="s">
        <v>144</v>
      </c>
      <c r="D71" s="469"/>
      <c r="E71" s="328"/>
      <c r="F71" s="328"/>
      <c r="G71" s="468"/>
      <c r="H71" s="480"/>
      <c r="K71" s="259"/>
    </row>
    <row r="72" spans="2:11" x14ac:dyDescent="0.35">
      <c r="B72" s="256"/>
      <c r="C72" s="466"/>
      <c r="D72" s="467"/>
      <c r="E72" s="329"/>
      <c r="F72" s="329"/>
      <c r="G72" s="466"/>
      <c r="H72" s="479"/>
      <c r="K72" s="259"/>
    </row>
    <row r="73" spans="2:11" x14ac:dyDescent="0.35">
      <c r="B73" s="256"/>
      <c r="C73" s="468"/>
      <c r="D73" s="469"/>
      <c r="E73" s="328"/>
      <c r="F73" s="328"/>
      <c r="G73" s="468"/>
      <c r="H73" s="480"/>
      <c r="K73" s="259"/>
    </row>
    <row r="74" spans="2:11" x14ac:dyDescent="0.35">
      <c r="B74" s="256"/>
      <c r="C74" s="466"/>
      <c r="D74" s="467"/>
      <c r="E74" s="329"/>
      <c r="F74" s="329"/>
      <c r="G74" s="466"/>
      <c r="H74" s="479"/>
      <c r="K74" s="259"/>
    </row>
    <row r="75" spans="2:11" x14ac:dyDescent="0.35">
      <c r="B75" s="256"/>
      <c r="C75" s="468"/>
      <c r="D75" s="469"/>
      <c r="E75" s="328"/>
      <c r="F75" s="328"/>
      <c r="G75" s="468"/>
      <c r="H75" s="480"/>
      <c r="K75" s="259"/>
    </row>
    <row r="76" spans="2:11" ht="16" thickBot="1" x14ac:dyDescent="0.4">
      <c r="B76" s="256"/>
      <c r="C76" s="472"/>
      <c r="D76" s="476"/>
      <c r="E76" s="330"/>
      <c r="F76" s="330"/>
      <c r="G76" s="472"/>
      <c r="H76" s="473"/>
      <c r="K76" s="259"/>
    </row>
    <row r="77" spans="2:11" ht="9" customHeight="1" x14ac:dyDescent="0.35">
      <c r="B77" s="277"/>
      <c r="C77" s="278"/>
      <c r="D77" s="278"/>
      <c r="E77" s="278"/>
      <c r="F77" s="278"/>
      <c r="G77" s="278"/>
      <c r="H77" s="278"/>
      <c r="I77" s="278"/>
      <c r="J77" s="278"/>
      <c r="K77" s="279"/>
    </row>
  </sheetData>
  <mergeCells count="61">
    <mergeCell ref="G76:H76"/>
    <mergeCell ref="G68:H68"/>
    <mergeCell ref="C74:D74"/>
    <mergeCell ref="C75:D75"/>
    <mergeCell ref="C76:D76"/>
    <mergeCell ref="G69:H69"/>
    <mergeCell ref="G70:H70"/>
    <mergeCell ref="G71:H71"/>
    <mergeCell ref="G72:H72"/>
    <mergeCell ref="G73:H73"/>
    <mergeCell ref="G74:H74"/>
    <mergeCell ref="G75:H75"/>
    <mergeCell ref="C69:D69"/>
    <mergeCell ref="C68:D68"/>
    <mergeCell ref="C70:D70"/>
    <mergeCell ref="C71:D71"/>
    <mergeCell ref="C72:D72"/>
    <mergeCell ref="C73:D73"/>
    <mergeCell ref="C61:D61"/>
    <mergeCell ref="C62:D62"/>
    <mergeCell ref="C63:D63"/>
    <mergeCell ref="H57:J57"/>
    <mergeCell ref="H59:J59"/>
    <mergeCell ref="H61:J61"/>
    <mergeCell ref="H63:J63"/>
    <mergeCell ref="H58:J58"/>
    <mergeCell ref="H56:J56"/>
    <mergeCell ref="I9:J9"/>
    <mergeCell ref="C20:C21"/>
    <mergeCell ref="C56:D56"/>
    <mergeCell ref="C57:D57"/>
    <mergeCell ref="H40:J40"/>
    <mergeCell ref="F43:G43"/>
    <mergeCell ref="F45:G45"/>
    <mergeCell ref="F37:J37"/>
    <mergeCell ref="F39:G39"/>
    <mergeCell ref="H39:J39"/>
    <mergeCell ref="F40:G40"/>
    <mergeCell ref="F42:G42"/>
    <mergeCell ref="F44:G44"/>
    <mergeCell ref="C37:C38"/>
    <mergeCell ref="F38:G38"/>
    <mergeCell ref="C58:D58"/>
    <mergeCell ref="C59:D59"/>
    <mergeCell ref="F47:G47"/>
    <mergeCell ref="F49:G49"/>
    <mergeCell ref="F46:G46"/>
    <mergeCell ref="F48:G48"/>
    <mergeCell ref="H38:J38"/>
    <mergeCell ref="C3:D3"/>
    <mergeCell ref="C7:G7"/>
    <mergeCell ref="H49:J49"/>
    <mergeCell ref="H48:J48"/>
    <mergeCell ref="H47:J47"/>
    <mergeCell ref="H46:J46"/>
    <mergeCell ref="H45:J45"/>
    <mergeCell ref="H44:J44"/>
    <mergeCell ref="H43:J43"/>
    <mergeCell ref="H42:J42"/>
    <mergeCell ref="H41:J41"/>
    <mergeCell ref="F41:G41"/>
  </mergeCells>
  <conditionalFormatting sqref="D14:G14">
    <cfRule type="cellIs" dxfId="19" priority="6" operator="lessThan">
      <formula>0</formula>
    </cfRule>
    <cfRule type="cellIs" dxfId="18" priority="7" operator="greaterThan">
      <formula>0</formula>
    </cfRule>
  </conditionalFormatting>
  <conditionalFormatting sqref="H22:H33">
    <cfRule type="cellIs" dxfId="17" priority="5" operator="greaterThan">
      <formula>0</formula>
    </cfRule>
  </conditionalFormatting>
  <conditionalFormatting sqref="J22:J33">
    <cfRule type="cellIs" dxfId="16" priority="4" operator="greaterThan">
      <formula>0</formula>
    </cfRule>
  </conditionalFormatting>
  <conditionalFormatting sqref="J22:J33 H22:H33">
    <cfRule type="cellIs" dxfId="15" priority="3" operator="lessThan">
      <formula>0</formula>
    </cfRule>
  </conditionalFormatting>
  <conditionalFormatting sqref="D39:E50">
    <cfRule type="cellIs" dxfId="14" priority="1" operator="greaterThan">
      <formula>0</formula>
    </cfRule>
    <cfRule type="cellIs" dxfId="13" priority="2" operator="lessThan">
      <formula>0</formula>
    </cfRule>
  </conditionalFormatting>
  <pageMargins left="0.25" right="0.25" top="0.75" bottom="0.75" header="0.3" footer="0.3"/>
  <pageSetup paperSize="9" scale="54" orientation="portrait" r:id="rId1"/>
  <colBreaks count="1" manualBreakCount="1">
    <brk id="11" min="1" max="73" man="1"/>
  </colBreak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5EE3C-2462-47F1-9F9C-C7D3C319980B}">
  <sheetPr codeName="Sheet2"/>
  <dimension ref="B1:G20"/>
  <sheetViews>
    <sheetView zoomScaleNormal="100" workbookViewId="0">
      <selection activeCell="D3" sqref="D3"/>
    </sheetView>
  </sheetViews>
  <sheetFormatPr defaultRowHeight="14.5" x14ac:dyDescent="0.35"/>
  <cols>
    <col min="1" max="1" width="2.54296875" customWidth="1"/>
    <col min="2" max="2" width="8.1796875" bestFit="1" customWidth="1"/>
    <col min="3" max="3" width="22.1796875" bestFit="1" customWidth="1"/>
    <col min="4" max="4" width="25.81640625" bestFit="1" customWidth="1"/>
    <col min="5" max="5" width="25.81640625" customWidth="1"/>
    <col min="6" max="6" width="48.26953125" bestFit="1" customWidth="1"/>
    <col min="7" max="7" width="17.26953125" customWidth="1"/>
  </cols>
  <sheetData>
    <row r="1" spans="2:7" ht="12" customHeight="1" x14ac:dyDescent="0.35"/>
    <row r="2" spans="2:7" ht="16" thickBot="1" x14ac:dyDescent="0.4">
      <c r="B2" s="201" t="s">
        <v>145</v>
      </c>
      <c r="C2" s="201" t="s">
        <v>146</v>
      </c>
      <c r="D2" s="201" t="s">
        <v>147</v>
      </c>
      <c r="E2" s="202" t="s">
        <v>103</v>
      </c>
      <c r="F2" s="202" t="s">
        <v>148</v>
      </c>
      <c r="G2" s="203" t="s">
        <v>149</v>
      </c>
    </row>
    <row r="3" spans="2:7" ht="16.5" thickTop="1" thickBot="1" x14ac:dyDescent="0.4">
      <c r="B3" s="85">
        <v>45839</v>
      </c>
      <c r="C3" s="196"/>
      <c r="D3" s="211"/>
      <c r="E3" s="217"/>
      <c r="F3" s="204"/>
      <c r="G3" s="204"/>
    </row>
    <row r="4" spans="2:7" ht="16" thickBot="1" x14ac:dyDescent="0.4">
      <c r="B4" s="87">
        <v>45870</v>
      </c>
      <c r="C4" s="197"/>
      <c r="D4" s="212">
        <f>D3-C4</f>
        <v>0</v>
      </c>
      <c r="E4" s="218"/>
      <c r="F4" s="205"/>
      <c r="G4" s="205"/>
    </row>
    <row r="5" spans="2:7" ht="16" thickBot="1" x14ac:dyDescent="0.4">
      <c r="B5" s="85">
        <v>45901</v>
      </c>
      <c r="C5" s="196"/>
      <c r="D5" s="213">
        <f t="shared" ref="D5:D20" si="0">D4-C5</f>
        <v>0</v>
      </c>
      <c r="E5" s="217"/>
      <c r="F5" s="206"/>
      <c r="G5" s="206"/>
    </row>
    <row r="6" spans="2:7" ht="16" thickBot="1" x14ac:dyDescent="0.4">
      <c r="B6" s="87">
        <v>45931</v>
      </c>
      <c r="C6" s="197"/>
      <c r="D6" s="212">
        <f t="shared" si="0"/>
        <v>0</v>
      </c>
      <c r="E6" s="218"/>
      <c r="F6" s="205"/>
      <c r="G6" s="205"/>
    </row>
    <row r="7" spans="2:7" ht="16" thickBot="1" x14ac:dyDescent="0.4">
      <c r="B7" s="85">
        <v>45962</v>
      </c>
      <c r="C7" s="196"/>
      <c r="D7" s="213">
        <f t="shared" si="0"/>
        <v>0</v>
      </c>
      <c r="E7" s="217"/>
      <c r="F7" s="206"/>
      <c r="G7" s="206"/>
    </row>
    <row r="8" spans="2:7" ht="16" thickBot="1" x14ac:dyDescent="0.4">
      <c r="B8" s="87">
        <v>45992</v>
      </c>
      <c r="C8" s="197"/>
      <c r="D8" s="212">
        <f t="shared" si="0"/>
        <v>0</v>
      </c>
      <c r="E8" s="218"/>
      <c r="F8" s="205"/>
      <c r="G8" s="205"/>
    </row>
    <row r="9" spans="2:7" ht="16" thickBot="1" x14ac:dyDescent="0.4">
      <c r="B9" s="85">
        <v>46023</v>
      </c>
      <c r="C9" s="198"/>
      <c r="D9" s="214">
        <f t="shared" si="0"/>
        <v>0</v>
      </c>
      <c r="E9" s="219"/>
      <c r="F9" s="207"/>
      <c r="G9" s="207"/>
    </row>
    <row r="10" spans="2:7" ht="16" thickBot="1" x14ac:dyDescent="0.4">
      <c r="B10" s="87">
        <v>46054</v>
      </c>
      <c r="C10" s="199"/>
      <c r="D10" s="215">
        <f t="shared" si="0"/>
        <v>0</v>
      </c>
      <c r="E10" s="220"/>
      <c r="F10" s="208"/>
      <c r="G10" s="208"/>
    </row>
    <row r="11" spans="2:7" ht="16" thickBot="1" x14ac:dyDescent="0.4">
      <c r="B11" s="85">
        <v>46082</v>
      </c>
      <c r="C11" s="210"/>
      <c r="D11" s="213">
        <f t="shared" si="0"/>
        <v>0</v>
      </c>
      <c r="E11" s="217"/>
      <c r="F11" s="206"/>
      <c r="G11" s="206"/>
    </row>
    <row r="12" spans="2:7" ht="16" thickBot="1" x14ac:dyDescent="0.4">
      <c r="B12" s="87">
        <v>46113</v>
      </c>
      <c r="C12" s="197"/>
      <c r="D12" s="212">
        <f t="shared" si="0"/>
        <v>0</v>
      </c>
      <c r="E12" s="218"/>
      <c r="F12" s="205"/>
      <c r="G12" s="205"/>
    </row>
    <row r="13" spans="2:7" ht="16" thickBot="1" x14ac:dyDescent="0.4">
      <c r="B13" s="85">
        <v>46143</v>
      </c>
      <c r="C13" s="196"/>
      <c r="D13" s="213">
        <f t="shared" si="0"/>
        <v>0</v>
      </c>
      <c r="E13" s="217"/>
      <c r="F13" s="206"/>
      <c r="G13" s="206"/>
    </row>
    <row r="14" spans="2:7" ht="16" thickBot="1" x14ac:dyDescent="0.4">
      <c r="B14" s="87">
        <v>46174</v>
      </c>
      <c r="C14" s="197"/>
      <c r="D14" s="212">
        <f t="shared" si="0"/>
        <v>0</v>
      </c>
      <c r="E14" s="218"/>
      <c r="F14" s="205"/>
      <c r="G14" s="205"/>
    </row>
    <row r="15" spans="2:7" ht="16" thickBot="1" x14ac:dyDescent="0.4">
      <c r="B15" s="85">
        <v>46204</v>
      </c>
      <c r="C15" s="196"/>
      <c r="D15" s="213">
        <f t="shared" si="0"/>
        <v>0</v>
      </c>
      <c r="E15" s="217"/>
      <c r="F15" s="206"/>
      <c r="G15" s="206"/>
    </row>
    <row r="16" spans="2:7" ht="16" thickBot="1" x14ac:dyDescent="0.4">
      <c r="B16" s="87">
        <v>46235</v>
      </c>
      <c r="C16" s="197"/>
      <c r="D16" s="212">
        <f t="shared" si="0"/>
        <v>0</v>
      </c>
      <c r="E16" s="218"/>
      <c r="F16" s="205"/>
      <c r="G16" s="205"/>
    </row>
    <row r="17" spans="2:7" ht="16" thickBot="1" x14ac:dyDescent="0.4">
      <c r="B17" s="85">
        <v>46266</v>
      </c>
      <c r="C17" s="196"/>
      <c r="D17" s="213">
        <f t="shared" si="0"/>
        <v>0</v>
      </c>
      <c r="E17" s="217"/>
      <c r="F17" s="206"/>
      <c r="G17" s="206"/>
    </row>
    <row r="18" spans="2:7" ht="16" thickBot="1" x14ac:dyDescent="0.4">
      <c r="B18" s="87">
        <v>46296</v>
      </c>
      <c r="C18" s="197"/>
      <c r="D18" s="212">
        <f t="shared" si="0"/>
        <v>0</v>
      </c>
      <c r="E18" s="218"/>
      <c r="F18" s="205"/>
      <c r="G18" s="205"/>
    </row>
    <row r="19" spans="2:7" ht="16" thickBot="1" x14ac:dyDescent="0.4">
      <c r="B19" s="85">
        <v>46327</v>
      </c>
      <c r="C19" s="196"/>
      <c r="D19" s="213">
        <f t="shared" si="0"/>
        <v>0</v>
      </c>
      <c r="E19" s="217"/>
      <c r="F19" s="206"/>
      <c r="G19" s="206"/>
    </row>
    <row r="20" spans="2:7" ht="15.5" x14ac:dyDescent="0.35">
      <c r="B20" s="88">
        <v>46357</v>
      </c>
      <c r="C20" s="200"/>
      <c r="D20" s="216">
        <f t="shared" si="0"/>
        <v>0</v>
      </c>
      <c r="E20" s="221"/>
      <c r="F20" s="209"/>
      <c r="G20" s="20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94FF4-C33B-40F4-AA11-59E8F306EA84}">
  <sheetPr codeName="Sheet5"/>
  <dimension ref="A1:H12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8" sqref="A8"/>
    </sheetView>
  </sheetViews>
  <sheetFormatPr defaultRowHeight="14.5" x14ac:dyDescent="0.35"/>
  <cols>
    <col min="1" max="1" width="26.453125" bestFit="1" customWidth="1"/>
    <col min="2" max="2" width="15.81640625" bestFit="1" customWidth="1"/>
    <col min="3" max="3" width="6.1796875" bestFit="1" customWidth="1"/>
    <col min="4" max="4" width="8.26953125" bestFit="1" customWidth="1"/>
    <col min="5" max="5" width="8.453125" bestFit="1" customWidth="1"/>
    <col min="6" max="6" width="9.08984375" bestFit="1" customWidth="1"/>
    <col min="7" max="7" width="8.26953125" bestFit="1" customWidth="1"/>
    <col min="8" max="8" width="10.7265625" bestFit="1" customWidth="1"/>
    <col min="9" max="31" width="5.81640625" customWidth="1"/>
    <col min="32" max="33" width="5.81640625" bestFit="1" customWidth="1"/>
    <col min="34" max="35" width="7.81640625" bestFit="1" customWidth="1"/>
    <col min="36" max="36" width="8.81640625" bestFit="1" customWidth="1"/>
    <col min="37" max="37" width="7.81640625" bestFit="1" customWidth="1"/>
    <col min="38" max="39" width="6.81640625" bestFit="1" customWidth="1"/>
    <col min="40" max="41" width="8.81640625" bestFit="1" customWidth="1"/>
    <col min="42" max="42" width="5.81640625" bestFit="1" customWidth="1"/>
    <col min="43" max="43" width="8.81640625" bestFit="1" customWidth="1"/>
    <col min="44" max="44" width="7.81640625" bestFit="1" customWidth="1"/>
    <col min="45" max="45" width="8.81640625" bestFit="1" customWidth="1"/>
    <col min="46" max="47" width="5.81640625" bestFit="1" customWidth="1"/>
    <col min="48" max="48" width="7.81640625" bestFit="1" customWidth="1"/>
    <col min="49" max="49" width="5.81640625" bestFit="1" customWidth="1"/>
    <col min="50" max="51" width="8.81640625" bestFit="1" customWidth="1"/>
    <col min="52" max="52" width="9.81640625" bestFit="1" customWidth="1"/>
    <col min="53" max="53" width="8.81640625" bestFit="1" customWidth="1"/>
    <col min="54" max="54" width="9.453125" bestFit="1" customWidth="1"/>
    <col min="55" max="55" width="8.81640625" bestFit="1" customWidth="1"/>
    <col min="56" max="56" width="9.453125" bestFit="1" customWidth="1"/>
    <col min="57" max="57" width="9.81640625" bestFit="1" customWidth="1"/>
    <col min="58" max="58" width="8.81640625" bestFit="1" customWidth="1"/>
    <col min="59" max="59" width="7.81640625" bestFit="1" customWidth="1"/>
    <col min="60" max="60" width="9.81640625" bestFit="1" customWidth="1"/>
    <col min="61" max="61" width="7.81640625" bestFit="1" customWidth="1"/>
    <col min="62" max="62" width="8.81640625" bestFit="1" customWidth="1"/>
    <col min="63" max="63" width="10.453125" bestFit="1" customWidth="1"/>
    <col min="64" max="67" width="8.81640625" bestFit="1" customWidth="1"/>
    <col min="68" max="68" width="8.453125" bestFit="1" customWidth="1"/>
    <col min="69" max="70" width="8.81640625" bestFit="1" customWidth="1"/>
    <col min="71" max="71" width="6.81640625" bestFit="1" customWidth="1"/>
    <col min="72" max="72" width="9.81640625" bestFit="1" customWidth="1"/>
    <col min="73" max="73" width="6.7265625" bestFit="1" customWidth="1"/>
    <col min="74" max="74" width="10.81640625" bestFit="1" customWidth="1"/>
  </cols>
  <sheetData>
    <row r="1" spans="1:8" x14ac:dyDescent="0.35">
      <c r="A1" s="13" t="s">
        <v>150</v>
      </c>
      <c r="B1" s="13" t="s">
        <v>151</v>
      </c>
    </row>
    <row r="2" spans="1:8" x14ac:dyDescent="0.35">
      <c r="A2" s="13" t="s">
        <v>152</v>
      </c>
      <c r="B2" t="s">
        <v>153</v>
      </c>
      <c r="C2" t="s">
        <v>154</v>
      </c>
      <c r="D2" t="s">
        <v>27</v>
      </c>
      <c r="E2" t="s">
        <v>5</v>
      </c>
      <c r="F2" t="s">
        <v>155</v>
      </c>
      <c r="G2" t="s">
        <v>28</v>
      </c>
      <c r="H2" t="s">
        <v>156</v>
      </c>
    </row>
    <row r="3" spans="1:8" x14ac:dyDescent="0.35">
      <c r="A3" s="14" t="s">
        <v>155</v>
      </c>
    </row>
    <row r="4" spans="1:8" x14ac:dyDescent="0.35">
      <c r="A4" s="15" t="s">
        <v>155</v>
      </c>
    </row>
    <row r="5" spans="1:8" x14ac:dyDescent="0.35">
      <c r="A5" s="14" t="s">
        <v>157</v>
      </c>
      <c r="B5">
        <v>200</v>
      </c>
      <c r="C5">
        <v>840</v>
      </c>
      <c r="D5">
        <v>3740</v>
      </c>
      <c r="E5">
        <v>12460</v>
      </c>
      <c r="G5">
        <v>5380</v>
      </c>
      <c r="H5">
        <v>22620</v>
      </c>
    </row>
    <row r="6" spans="1:8" x14ac:dyDescent="0.35">
      <c r="A6" s="15" t="s">
        <v>158</v>
      </c>
      <c r="D6">
        <v>1500</v>
      </c>
      <c r="E6">
        <v>8400</v>
      </c>
      <c r="G6">
        <v>5100</v>
      </c>
      <c r="H6">
        <v>15000</v>
      </c>
    </row>
    <row r="7" spans="1:8" x14ac:dyDescent="0.35">
      <c r="A7" s="15" t="s">
        <v>159</v>
      </c>
      <c r="B7">
        <v>200</v>
      </c>
      <c r="H7">
        <v>200</v>
      </c>
    </row>
    <row r="8" spans="1:8" x14ac:dyDescent="0.35">
      <c r="A8" s="15" t="s">
        <v>160</v>
      </c>
      <c r="C8">
        <v>840</v>
      </c>
      <c r="D8">
        <v>2240</v>
      </c>
      <c r="E8">
        <v>4060</v>
      </c>
      <c r="G8">
        <v>280</v>
      </c>
      <c r="H8">
        <v>7420</v>
      </c>
    </row>
    <row r="9" spans="1:8" x14ac:dyDescent="0.35">
      <c r="A9" s="14" t="s">
        <v>161</v>
      </c>
      <c r="C9">
        <v>620</v>
      </c>
      <c r="D9">
        <v>3220</v>
      </c>
      <c r="E9">
        <v>925</v>
      </c>
      <c r="G9">
        <v>310</v>
      </c>
      <c r="H9">
        <v>5075</v>
      </c>
    </row>
    <row r="10" spans="1:8" x14ac:dyDescent="0.35">
      <c r="A10" s="15" t="s">
        <v>162</v>
      </c>
      <c r="C10">
        <v>620</v>
      </c>
      <c r="D10">
        <v>2170</v>
      </c>
      <c r="E10">
        <v>775</v>
      </c>
      <c r="G10">
        <v>310</v>
      </c>
      <c r="H10">
        <v>3875</v>
      </c>
    </row>
    <row r="11" spans="1:8" x14ac:dyDescent="0.35">
      <c r="A11" s="15" t="s">
        <v>163</v>
      </c>
      <c r="D11">
        <v>1050</v>
      </c>
      <c r="E11">
        <v>150</v>
      </c>
      <c r="H11">
        <v>1200</v>
      </c>
    </row>
    <row r="12" spans="1:8" x14ac:dyDescent="0.35">
      <c r="A12" s="14" t="s">
        <v>156</v>
      </c>
      <c r="B12">
        <v>200</v>
      </c>
      <c r="C12">
        <v>1460</v>
      </c>
      <c r="D12">
        <v>6960</v>
      </c>
      <c r="E12">
        <v>13385</v>
      </c>
      <c r="G12">
        <v>5690</v>
      </c>
      <c r="H12">
        <v>27695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10C8-78B5-4D11-BD09-2DE05772CA45}">
  <dimension ref="B2:E25"/>
  <sheetViews>
    <sheetView workbookViewId="0">
      <selection activeCell="G41" sqref="G41"/>
    </sheetView>
  </sheetViews>
  <sheetFormatPr defaultRowHeight="14.5" x14ac:dyDescent="0.35"/>
  <cols>
    <col min="2" max="2" width="9.453125" style="148" bestFit="1" customWidth="1"/>
    <col min="3" max="3" width="11.453125" style="149" bestFit="1" customWidth="1"/>
    <col min="4" max="4" width="11.1796875" style="149" bestFit="1" customWidth="1"/>
    <col min="5" max="5" width="11.81640625" style="150" bestFit="1" customWidth="1"/>
  </cols>
  <sheetData>
    <row r="2" spans="2:5" x14ac:dyDescent="0.35">
      <c r="B2" s="148" t="s">
        <v>164</v>
      </c>
      <c r="C2" s="149" t="s">
        <v>67</v>
      </c>
      <c r="D2" s="149" t="s">
        <v>165</v>
      </c>
      <c r="E2" s="150" t="s">
        <v>166</v>
      </c>
    </row>
    <row r="3" spans="2:5" x14ac:dyDescent="0.35">
      <c r="B3" s="148">
        <v>45383</v>
      </c>
      <c r="D3" s="149">
        <v>2000</v>
      </c>
    </row>
    <row r="4" spans="2:5" x14ac:dyDescent="0.35">
      <c r="B4" s="148">
        <v>45413</v>
      </c>
      <c r="D4" s="149">
        <v>300</v>
      </c>
    </row>
    <row r="5" spans="2:5" x14ac:dyDescent="0.35">
      <c r="B5" s="148">
        <v>45444</v>
      </c>
      <c r="D5" s="149">
        <v>69777.200000000012</v>
      </c>
    </row>
    <row r="6" spans="2:5" x14ac:dyDescent="0.35">
      <c r="B6" s="148">
        <v>45474</v>
      </c>
      <c r="D6" s="149">
        <v>3300</v>
      </c>
    </row>
    <row r="7" spans="2:5" x14ac:dyDescent="0.35">
      <c r="B7" s="148">
        <v>45505</v>
      </c>
      <c r="D7" s="149">
        <v>49773.07</v>
      </c>
    </row>
    <row r="8" spans="2:5" x14ac:dyDescent="0.35">
      <c r="B8" s="148">
        <v>45536</v>
      </c>
      <c r="D8" s="149">
        <v>50804.46</v>
      </c>
    </row>
    <row r="9" spans="2:5" x14ac:dyDescent="0.35">
      <c r="B9" s="148">
        <v>45566</v>
      </c>
      <c r="D9" s="149">
        <v>132993.37</v>
      </c>
    </row>
    <row r="10" spans="2:5" x14ac:dyDescent="0.35">
      <c r="B10" s="148">
        <v>45597</v>
      </c>
      <c r="D10" s="149">
        <v>39611.979999999996</v>
      </c>
    </row>
    <row r="11" spans="2:5" x14ac:dyDescent="0.35">
      <c r="B11" s="148">
        <v>45627</v>
      </c>
      <c r="D11" s="149">
        <v>17347.5</v>
      </c>
    </row>
    <row r="12" spans="2:5" x14ac:dyDescent="0.35">
      <c r="B12" s="148">
        <v>45658</v>
      </c>
      <c r="D12" s="149">
        <v>57292.44</v>
      </c>
    </row>
    <row r="13" spans="2:5" x14ac:dyDescent="0.35">
      <c r="B13" s="148">
        <v>45689</v>
      </c>
      <c r="D13" s="149">
        <v>4665</v>
      </c>
    </row>
    <row r="14" spans="2:5" x14ac:dyDescent="0.35">
      <c r="B14" s="148">
        <v>45717</v>
      </c>
      <c r="D14" s="149">
        <v>107982.13</v>
      </c>
      <c r="E14" s="150" t="e">
        <v>#DIV/0!</v>
      </c>
    </row>
    <row r="15" spans="2:5" x14ac:dyDescent="0.35">
      <c r="B15" s="148">
        <v>45748</v>
      </c>
      <c r="D15" s="149">
        <v>93000.07</v>
      </c>
      <c r="E15" s="150" t="e">
        <v>#DIV/0!</v>
      </c>
    </row>
    <row r="16" spans="2:5" x14ac:dyDescent="0.35">
      <c r="B16" s="148">
        <v>45778</v>
      </c>
      <c r="C16" s="149">
        <v>42798</v>
      </c>
      <c r="D16" s="149">
        <v>24249.5</v>
      </c>
      <c r="E16" s="150">
        <v>0.56660357960652363</v>
      </c>
    </row>
    <row r="17" spans="2:5" x14ac:dyDescent="0.35">
      <c r="B17" s="148">
        <v>45809</v>
      </c>
      <c r="D17" s="149">
        <v>173941.63</v>
      </c>
      <c r="E17" s="150" t="e">
        <v>#DIV/0!</v>
      </c>
    </row>
    <row r="18" spans="2:5" x14ac:dyDescent="0.35">
      <c r="B18" s="148">
        <v>45839</v>
      </c>
      <c r="D18" s="149">
        <v>11720.5</v>
      </c>
      <c r="E18" s="150" t="e">
        <v>#DIV/0!</v>
      </c>
    </row>
    <row r="19" spans="2:5" x14ac:dyDescent="0.35">
      <c r="B19" s="148">
        <v>45870</v>
      </c>
      <c r="D19" s="149">
        <v>60425.37</v>
      </c>
      <c r="E19" s="150" t="e">
        <v>#DIV/0!</v>
      </c>
    </row>
    <row r="20" spans="2:5" x14ac:dyDescent="0.35">
      <c r="B20" s="148">
        <v>45901</v>
      </c>
      <c r="C20" s="149">
        <v>41550</v>
      </c>
      <c r="D20" s="149">
        <v>89274.240000000005</v>
      </c>
      <c r="E20" s="150">
        <f>Table1[[#This Row],[Actuals]]/Table1[[#This Row],[Forecast]]</f>
        <v>2.148597833935018</v>
      </c>
    </row>
    <row r="21" spans="2:5" x14ac:dyDescent="0.35">
      <c r="B21" s="148">
        <v>45931</v>
      </c>
      <c r="C21" s="149">
        <v>26440</v>
      </c>
      <c r="D21" s="149">
        <v>11500.5</v>
      </c>
      <c r="E21" s="150">
        <f>Table1[[#This Row],[Actuals]]/Table1[[#This Row],[Forecast]]</f>
        <v>0.43496596066565807</v>
      </c>
    </row>
    <row r="22" spans="2:5" x14ac:dyDescent="0.35">
      <c r="B22" s="148">
        <v>45962</v>
      </c>
      <c r="C22" s="149">
        <v>39671</v>
      </c>
      <c r="D22" s="149">
        <v>38736.54</v>
      </c>
      <c r="E22" s="150">
        <f>Table1[[#This Row],[Actuals]]/Table1[[#This Row],[Forecast]]</f>
        <v>0.97644475813566589</v>
      </c>
    </row>
    <row r="23" spans="2:5" x14ac:dyDescent="0.35">
      <c r="B23" s="148">
        <v>45992</v>
      </c>
      <c r="C23" s="149">
        <v>53266</v>
      </c>
      <c r="D23" s="149">
        <v>12651.759999999998</v>
      </c>
      <c r="E23" s="150">
        <f>Table1[[#This Row],[Actuals]]/Table1[[#This Row],[Forecast]]</f>
        <v>0.23752036946645136</v>
      </c>
    </row>
    <row r="24" spans="2:5" x14ac:dyDescent="0.35">
      <c r="B24" s="148">
        <v>46023</v>
      </c>
      <c r="C24" s="149">
        <v>46564</v>
      </c>
      <c r="D24" s="149">
        <v>4582.5</v>
      </c>
      <c r="E24" s="150">
        <f>Table1[[#This Row],[Actuals]]/Table1[[#This Row],[Forecast]]</f>
        <v>9.8412937032900952E-2</v>
      </c>
    </row>
    <row r="25" spans="2:5" x14ac:dyDescent="0.35">
      <c r="B25" s="148">
        <v>46054</v>
      </c>
      <c r="C25" s="149">
        <v>56271</v>
      </c>
      <c r="D25" s="149">
        <v>104797.05</v>
      </c>
      <c r="E25" s="150">
        <f>Table1[[#This Row],[Actuals]]/Table1[[#This Row],[Forecast]]</f>
        <v>1.8623633843365144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FB4E8-BEAA-4D36-8572-0C36FB1DD817}">
  <sheetPr codeName="Sheet6"/>
  <dimension ref="A1:H57"/>
  <sheetViews>
    <sheetView zoomScale="70" zoomScaleNormal="70" workbookViewId="0">
      <selection activeCell="A8" sqref="A8"/>
    </sheetView>
  </sheetViews>
  <sheetFormatPr defaultRowHeight="14.5" x14ac:dyDescent="0.35"/>
  <cols>
    <col min="1" max="1" width="16.54296875" customWidth="1"/>
    <col min="2" max="2" width="20.1796875" customWidth="1"/>
    <col min="3" max="3" width="13.7265625" bestFit="1" customWidth="1"/>
    <col min="4" max="4" width="16.54296875" customWidth="1"/>
    <col min="5" max="5" width="22.1796875" bestFit="1" customWidth="1"/>
    <col min="6" max="6" width="20.1796875" customWidth="1"/>
    <col min="7" max="7" width="19.453125" bestFit="1" customWidth="1"/>
    <col min="8" max="8" width="14.1796875" customWidth="1"/>
    <col min="19" max="27" width="10.26953125" customWidth="1"/>
  </cols>
  <sheetData>
    <row r="1" spans="1:8" ht="15" thickBot="1" x14ac:dyDescent="0.4"/>
    <row r="2" spans="1:8" ht="16" thickBot="1" x14ac:dyDescent="0.4">
      <c r="A2" s="485" t="s">
        <v>0</v>
      </c>
      <c r="B2" s="486"/>
      <c r="C2" s="90"/>
      <c r="D2" s="90"/>
      <c r="E2" s="86"/>
      <c r="F2" s="86"/>
      <c r="G2" s="86"/>
      <c r="H2" s="86"/>
    </row>
    <row r="3" spans="1:8" ht="16" thickBot="1" x14ac:dyDescent="0.4">
      <c r="A3" s="91" t="s">
        <v>90</v>
      </c>
      <c r="B3" s="92">
        <v>46229</v>
      </c>
      <c r="C3" s="86"/>
      <c r="D3" s="86"/>
      <c r="E3" s="86"/>
      <c r="F3" s="86"/>
      <c r="G3" s="86"/>
      <c r="H3" s="86"/>
    </row>
    <row r="4" spans="1:8" x14ac:dyDescent="0.35">
      <c r="A4" s="86"/>
      <c r="B4" s="86"/>
      <c r="C4" s="86"/>
      <c r="D4" s="86"/>
      <c r="E4" s="86"/>
      <c r="F4" s="86"/>
      <c r="G4" s="86"/>
      <c r="H4" s="86"/>
    </row>
    <row r="5" spans="1:8" x14ac:dyDescent="0.35">
      <c r="A5" s="86"/>
      <c r="B5" s="86"/>
      <c r="C5" s="86"/>
      <c r="D5" s="86"/>
      <c r="E5" s="86"/>
      <c r="F5" s="86"/>
      <c r="G5" s="86"/>
      <c r="H5" s="86"/>
    </row>
    <row r="6" spans="1:8" ht="15.5" x14ac:dyDescent="0.35">
      <c r="A6" s="181" t="s">
        <v>119</v>
      </c>
      <c r="B6" s="181"/>
      <c r="C6" s="86"/>
      <c r="D6" s="86"/>
      <c r="E6" s="86"/>
      <c r="F6" s="86"/>
      <c r="G6" s="86"/>
      <c r="H6" s="86"/>
    </row>
    <row r="7" spans="1:8" x14ac:dyDescent="0.35">
      <c r="A7" s="86"/>
      <c r="B7" s="86"/>
      <c r="C7" s="86"/>
      <c r="D7" s="86"/>
      <c r="E7" s="86"/>
      <c r="F7" s="86"/>
      <c r="G7" s="86"/>
      <c r="H7" s="86"/>
    </row>
    <row r="8" spans="1:8" ht="35.5" customHeight="1" thickBot="1" x14ac:dyDescent="0.4">
      <c r="A8" s="230" t="s">
        <v>109</v>
      </c>
      <c r="B8" s="231" t="s">
        <v>167</v>
      </c>
      <c r="C8" s="231" t="s">
        <v>168</v>
      </c>
      <c r="D8" s="231" t="s">
        <v>169</v>
      </c>
      <c r="E8" s="231" t="s">
        <v>170</v>
      </c>
      <c r="F8" s="231" t="s">
        <v>171</v>
      </c>
      <c r="G8" s="231" t="s">
        <v>172</v>
      </c>
      <c r="H8" s="231" t="s">
        <v>121</v>
      </c>
    </row>
    <row r="9" spans="1:8" ht="15.5" thickTop="1" thickBot="1" x14ac:dyDescent="0.4">
      <c r="A9" s="232"/>
      <c r="B9" s="232" t="s">
        <v>173</v>
      </c>
      <c r="C9" s="232" t="s">
        <v>174</v>
      </c>
      <c r="D9" s="232" t="s">
        <v>175</v>
      </c>
      <c r="E9" s="232" t="s">
        <v>176</v>
      </c>
      <c r="F9" s="232" t="s">
        <v>177</v>
      </c>
      <c r="G9" s="232" t="s">
        <v>178</v>
      </c>
      <c r="H9" s="232" t="s">
        <v>179</v>
      </c>
    </row>
    <row r="10" spans="1:8" ht="15" thickTop="1" x14ac:dyDescent="0.35">
      <c r="A10" s="222" t="str" cm="1">
        <f t="array" ref="A10:A17">_xlfn._xlws.SORT(_xlfn.UNIQUE(_xlfn._xlws.FILTER(CTC!$C$11:$C$77,(CTC!$C$11:$C$77&lt;&gt;"")*(CTC!$A$11:$A$77&lt;&gt;""))))</f>
        <v>Close Out</v>
      </c>
      <c r="B10" s="223">
        <f>SUMIFS(CTC!$AU$11:$AU$77,CTC!$C$11:$C$77,$A10)</f>
        <v>46000</v>
      </c>
      <c r="C10" s="223">
        <f>SUMIFS(CTC!$AV$11:$AV$77,CTC!$C$11:$C$77,$A10)</f>
        <v>0</v>
      </c>
      <c r="D10" s="223">
        <f>SUMIFS(CTC!$AW$11:$AW$77,CTC!$C$11:$C$77,$A10)</f>
        <v>46000</v>
      </c>
      <c r="E10" s="223">
        <f>SUMIFS(CTC!$BC$11:$BC$77,CTC!$C$11:$C$77,$A10)</f>
        <v>46000</v>
      </c>
      <c r="F10" s="223">
        <f>SUMIFS(CTC!$BD$11:$BD$77,CTC!$C$11:$C$77,$A10)</f>
        <v>0</v>
      </c>
      <c r="G10" s="223">
        <f>SUMIFS(CTC!$AY$11:$AY$77,CTC!$C$11:$C$77,$A10)</f>
        <v>46000</v>
      </c>
      <c r="H10" s="223">
        <f>SUMIFS(CTC!$BA$11:$BA$77,CTC!$C$11:$C$77,$A10)</f>
        <v>0</v>
      </c>
    </row>
    <row r="11" spans="1:8" x14ac:dyDescent="0.35">
      <c r="A11" s="224" t="str">
        <v>Compliance</v>
      </c>
      <c r="B11" s="225">
        <f>SUMIFS(CTC!$AU$11:$AU$77,CTC!$C$11:$C$77,$A11)</f>
        <v>54710</v>
      </c>
      <c r="C11" s="225">
        <f>SUMIFS(CTC!$AV$11:$AV$77,CTC!$C$11:$C$77,$A11)</f>
        <v>0</v>
      </c>
      <c r="D11" s="225">
        <f>SUMIFS(CTC!$AW$11:$AW$77,CTC!$C$11:$C$77,$A11)</f>
        <v>54710</v>
      </c>
      <c r="E11" s="225">
        <f>SUMIFS(CTC!$BC$11:$BC$77,CTC!$C$11:$C$77,$A11)</f>
        <v>54710</v>
      </c>
      <c r="F11" s="225">
        <f>SUMIFS(CTC!$BD$11:$BD$77,CTC!$C$11:$C$77,$A11)</f>
        <v>0</v>
      </c>
      <c r="G11" s="225">
        <f>SUMIFS(CTC!$AY$11:$AY$77,CTC!$C$11:$C$77,$A11)</f>
        <v>54710</v>
      </c>
      <c r="H11" s="225">
        <f>SUMIFS(CTC!$BA$11:$BA$77,CTC!$C$11:$C$77,$A11)</f>
        <v>0</v>
      </c>
    </row>
    <row r="12" spans="1:8" x14ac:dyDescent="0.35">
      <c r="A12" s="222" t="str">
        <v>Construction</v>
      </c>
      <c r="B12" s="223">
        <f>SUMIFS(CTC!$AU$11:$AU$77,CTC!$C$11:$C$77,$A12)</f>
        <v>2256446.0373120001</v>
      </c>
      <c r="C12" s="223">
        <f>SUMIFS(CTC!$AV$11:$AV$77,CTC!$C$11:$C$77,$A12)</f>
        <v>0</v>
      </c>
      <c r="D12" s="223">
        <f>SUMIFS(CTC!$AW$11:$AW$77,CTC!$C$11:$C$77,$A12)</f>
        <v>2256446.0373120001</v>
      </c>
      <c r="E12" s="223">
        <f>SUMIFS(CTC!$BC$11:$BC$77,CTC!$C$11:$C$77,$A12)</f>
        <v>2256446.0373120001</v>
      </c>
      <c r="F12" s="223">
        <f>SUMIFS(CTC!$BD$11:$BD$77,CTC!$C$11:$C$77,$A12)</f>
        <v>0</v>
      </c>
      <c r="G12" s="223">
        <f>SUMIFS(CTC!$AY$11:$AY$77,CTC!$C$11:$C$77,$A12)</f>
        <v>2256446.0373120001</v>
      </c>
      <c r="H12" s="223">
        <f>SUMIFS(CTC!$BA$11:$BA$77,CTC!$C$11:$C$77,$A12)</f>
        <v>0</v>
      </c>
    </row>
    <row r="13" spans="1:8" x14ac:dyDescent="0.35">
      <c r="A13" s="224" t="str">
        <v>Contigency</v>
      </c>
      <c r="B13" s="225">
        <f>SUMIFS(CTC!$AU$11:$AU$77,CTC!$C$11:$C$77,$A13)</f>
        <v>772444.26418240007</v>
      </c>
      <c r="C13" s="225">
        <f>SUMIFS(CTC!$AV$11:$AV$77,CTC!$C$11:$C$77,$A13)</f>
        <v>0</v>
      </c>
      <c r="D13" s="225">
        <f>SUMIFS(CTC!$AW$11:$AW$77,CTC!$C$11:$C$77,$A13)</f>
        <v>772444.26418240007</v>
      </c>
      <c r="E13" s="225">
        <f>SUMIFS(CTC!$BC$11:$BC$77,CTC!$C$11:$C$77,$A13)</f>
        <v>772444.26418240007</v>
      </c>
      <c r="F13" s="225">
        <f>SUMIFS(CTC!$BD$11:$BD$77,CTC!$C$11:$C$77,$A13)</f>
        <v>0</v>
      </c>
      <c r="G13" s="225">
        <f>SUMIFS(CTC!$AY$11:$AY$77,CTC!$C$11:$C$77,$A13)</f>
        <v>772444.26418240007</v>
      </c>
      <c r="H13" s="225">
        <f>SUMIFS(CTC!$BA$11:$BA$77,CTC!$C$11:$C$77,$A13)</f>
        <v>0</v>
      </c>
    </row>
    <row r="14" spans="1:8" x14ac:dyDescent="0.35">
      <c r="A14" s="222" t="str">
        <v>Design Consultants</v>
      </c>
      <c r="B14" s="223">
        <f>SUMIFS(CTC!$AU$11:$AU$77,CTC!$C$11:$C$77,$A14)</f>
        <v>390000</v>
      </c>
      <c r="C14" s="223">
        <f>SUMIFS(CTC!$AV$11:$AV$77,CTC!$C$11:$C$77,$A14)</f>
        <v>0</v>
      </c>
      <c r="D14" s="223">
        <f>SUMIFS(CTC!$AW$11:$AW$77,CTC!$C$11:$C$77,$A14)</f>
        <v>390000</v>
      </c>
      <c r="E14" s="223">
        <f>SUMIFS(CTC!$BC$11:$BC$77,CTC!$C$11:$C$77,$A14)</f>
        <v>390000</v>
      </c>
      <c r="F14" s="223">
        <f>SUMIFS(CTC!$BD$11:$BD$77,CTC!$C$11:$C$77,$A14)</f>
        <v>0</v>
      </c>
      <c r="G14" s="223">
        <f>SUMIFS(CTC!$AY$11:$AY$77,CTC!$C$11:$C$77,$A14)</f>
        <v>390000</v>
      </c>
      <c r="H14" s="223">
        <f>SUMIFS(CTC!$BA$11:$BA$77,CTC!$C$11:$C$77,$A14)</f>
        <v>0</v>
      </c>
    </row>
    <row r="15" spans="1:8" x14ac:dyDescent="0.35">
      <c r="A15" s="224" t="str">
        <v>Internal Staff Costs</v>
      </c>
      <c r="B15" s="225">
        <f>SUMIFS(CTC!$AU$11:$AU$77,CTC!$C$11:$C$77,$A15)</f>
        <v>28700</v>
      </c>
      <c r="C15" s="225">
        <f>SUMIFS(CTC!$AV$11:$AV$77,CTC!$C$11:$C$77,$A15)</f>
        <v>5075</v>
      </c>
      <c r="D15" s="225">
        <f>SUMIFS(CTC!$AW$11:$AW$77,CTC!$C$11:$C$77,$A15)</f>
        <v>33775</v>
      </c>
      <c r="E15" s="225">
        <f>SUMIFS(CTC!$BC$11:$BC$77,CTC!$C$11:$C$77,$A15)</f>
        <v>33775</v>
      </c>
      <c r="F15" s="225">
        <f>SUMIFS(CTC!$BD$11:$BD$77,CTC!$C$11:$C$77,$A15)</f>
        <v>0</v>
      </c>
      <c r="G15" s="225">
        <f>SUMIFS(CTC!$AY$11:$AY$77,CTC!$C$11:$C$77,$A15)</f>
        <v>33775</v>
      </c>
      <c r="H15" s="225">
        <f>SUMIFS(CTC!$BA$11:$BA$77,CTC!$C$11:$C$77,$A15)</f>
        <v>0</v>
      </c>
    </row>
    <row r="16" spans="1:8" x14ac:dyDescent="0.35">
      <c r="A16" s="222" t="str">
        <v>Iwi Engagement</v>
      </c>
      <c r="B16" s="223">
        <f>SUMIFS(CTC!$AU$11:$AU$77,CTC!$C$11:$C$77,$A16)</f>
        <v>38180.01</v>
      </c>
      <c r="C16" s="223">
        <f>SUMIFS(CTC!$AV$11:$AV$77,CTC!$C$11:$C$77,$A16)</f>
        <v>0</v>
      </c>
      <c r="D16" s="223">
        <f>SUMIFS(CTC!$AW$11:$AW$77,CTC!$C$11:$C$77,$A16)</f>
        <v>38180.01</v>
      </c>
      <c r="E16" s="223">
        <f>SUMIFS(CTC!$BC$11:$BC$77,CTC!$C$11:$C$77,$A16)</f>
        <v>38180.01</v>
      </c>
      <c r="F16" s="223">
        <f>SUMIFS(CTC!$BD$11:$BD$77,CTC!$C$11:$C$77,$A16)</f>
        <v>0</v>
      </c>
      <c r="G16" s="223">
        <f>SUMIFS(CTC!$AY$11:$AY$77,CTC!$C$11:$C$77,$A16)</f>
        <v>38180.01</v>
      </c>
      <c r="H16" s="223">
        <f>SUMIFS(CTC!$BA$11:$BA$77,CTC!$C$11:$C$77,$A16)</f>
        <v>0</v>
      </c>
    </row>
    <row r="17" spans="1:8" x14ac:dyDescent="0.35">
      <c r="A17" s="224" t="str">
        <v>Project Management</v>
      </c>
      <c r="B17" s="225">
        <f>SUMIFS(CTC!$AU$11:$AU$77,CTC!$C$11:$C$77,$A17)</f>
        <v>651820</v>
      </c>
      <c r="C17" s="225">
        <f>SUMIFS(CTC!$AV$11:$AV$77,CTC!$C$11:$C$77,$A17)</f>
        <v>22620</v>
      </c>
      <c r="D17" s="225">
        <f>SUMIFS(CTC!$AW$11:$AW$77,CTC!$C$11:$C$77,$A17)</f>
        <v>674440</v>
      </c>
      <c r="E17" s="225">
        <f>SUMIFS(CTC!$BC$11:$BC$77,CTC!$C$11:$C$77,$A17)</f>
        <v>674440</v>
      </c>
      <c r="F17" s="225">
        <f>SUMIFS(CTC!$BD$11:$BD$77,CTC!$C$11:$C$77,$A17)</f>
        <v>0</v>
      </c>
      <c r="G17" s="225">
        <f>SUMIFS(CTC!$AY$11:$AY$77,CTC!$C$11:$C$77,$A17)</f>
        <v>674440</v>
      </c>
      <c r="H17" s="225">
        <f>SUMIFS(CTC!$BA$11:$BA$77,CTC!$C$11:$C$77,$A17)</f>
        <v>0</v>
      </c>
    </row>
    <row r="18" spans="1:8" x14ac:dyDescent="0.35">
      <c r="A18" s="222"/>
      <c r="B18" s="223">
        <f>SUMIFS(CTC!$AU$11:$AU$77,CTC!$C$11:$C$77,$A18)</f>
        <v>0</v>
      </c>
      <c r="C18" s="223">
        <f>SUMIFS(CTC!$AV$11:$AV$77,CTC!$C$11:$C$77,$A18)</f>
        <v>0</v>
      </c>
      <c r="D18" s="223">
        <f>SUMIFS(CTC!$AW$11:$AW$77,CTC!$C$11:$C$77,$A18)</f>
        <v>0</v>
      </c>
      <c r="E18" s="223">
        <f>SUMIFS(CTC!$BC$11:$BC$77,CTC!$C$11:$C$77,$A18)</f>
        <v>0</v>
      </c>
      <c r="F18" s="223">
        <f>SUMIFS(CTC!$BD$11:$BD$77,CTC!$C$11:$C$77,$A18)</f>
        <v>0</v>
      </c>
      <c r="G18" s="223">
        <f>SUMIFS(CTC!$AY$11:$AY$77,CTC!$C$11:$C$77,$A18)</f>
        <v>0</v>
      </c>
      <c r="H18" s="223">
        <f>SUMIFS(CTC!$BA$11:$BA$77,CTC!$C$11:$C$77,$A18)</f>
        <v>0</v>
      </c>
    </row>
    <row r="19" spans="1:8" x14ac:dyDescent="0.35">
      <c r="A19" s="224"/>
      <c r="B19" s="225">
        <f>SUMIFS(CTC!$AU$11:$AU$77,CTC!$C$11:$C$77,$A19)</f>
        <v>0</v>
      </c>
      <c r="C19" s="225">
        <f>SUMIFS(CTC!$AV$11:$AV$77,CTC!$C$11:$C$77,$A19)</f>
        <v>0</v>
      </c>
      <c r="D19" s="225">
        <f>SUMIFS(CTC!$AW$11:$AW$77,CTC!$C$11:$C$77,$A19)</f>
        <v>0</v>
      </c>
      <c r="E19" s="225">
        <f>SUMIFS(CTC!$BC$11:$BC$77,CTC!$C$11:$C$77,$A19)</f>
        <v>0</v>
      </c>
      <c r="F19" s="225">
        <f>SUMIFS(CTC!$BD$11:$BD$77,CTC!$C$11:$C$77,$A19)</f>
        <v>0</v>
      </c>
      <c r="G19" s="225">
        <f>SUMIFS(CTC!$AY$11:$AY$77,CTC!$C$11:$C$77,$A19)</f>
        <v>0</v>
      </c>
      <c r="H19" s="225">
        <f>SUMIFS(CTC!$BA$11:$BA$77,CTC!$C$11:$C$77,$A19)</f>
        <v>0</v>
      </c>
    </row>
    <row r="20" spans="1:8" ht="15" thickBot="1" x14ac:dyDescent="0.4">
      <c r="A20" s="222"/>
      <c r="B20" s="223">
        <f>SUMIFS(CTC!$AU$11:$AU$77,CTC!$C$11:$C$77,$A20)</f>
        <v>0</v>
      </c>
      <c r="C20" s="223">
        <f>SUMIFS(CTC!$AV$11:$AV$77,CTC!$C$11:$C$77,$A20)</f>
        <v>0</v>
      </c>
      <c r="D20" s="223">
        <f>SUMIFS(CTC!$AW$11:$AW$77,CTC!$C$11:$C$77,$A20)</f>
        <v>0</v>
      </c>
      <c r="E20" s="223">
        <f>SUMIFS(CTC!$BC$11:$BC$77,CTC!$C$11:$C$77,$A20)</f>
        <v>0</v>
      </c>
      <c r="F20" s="223">
        <f>SUMIFS(CTC!$BD$11:$BD$77,CTC!$C$11:$C$77,$A20)</f>
        <v>0</v>
      </c>
      <c r="G20" s="223">
        <f>SUMIFS(CTC!$AY$11:$AY$77,CTC!$C$11:$C$77,$A20)</f>
        <v>0</v>
      </c>
      <c r="H20" s="223">
        <f>SUMIFS(CTC!$BA$11:$BA$77,CTC!$C$11:$C$77,$A20)</f>
        <v>0</v>
      </c>
    </row>
    <row r="21" spans="1:8" ht="16" thickBot="1" x14ac:dyDescent="0.4">
      <c r="A21" s="192" t="s">
        <v>118</v>
      </c>
      <c r="B21" s="193">
        <f>SUM(B10:B20)</f>
        <v>4238300.3114943998</v>
      </c>
      <c r="C21" s="193">
        <f t="shared" ref="C21:G21" si="0">SUM(C10:C20)</f>
        <v>27695</v>
      </c>
      <c r="D21" s="193">
        <f t="shared" si="0"/>
        <v>4265995.3114943998</v>
      </c>
      <c r="E21" s="193">
        <f t="shared" si="0"/>
        <v>4265995.3114943998</v>
      </c>
      <c r="F21" s="193">
        <f t="shared" si="0"/>
        <v>0</v>
      </c>
      <c r="G21" s="193">
        <f t="shared" si="0"/>
        <v>4265995.3114943998</v>
      </c>
      <c r="H21" s="194">
        <f>SUM(H10:H20)</f>
        <v>0</v>
      </c>
    </row>
    <row r="22" spans="1:8" ht="15" thickTop="1" x14ac:dyDescent="0.35">
      <c r="A22" s="86"/>
      <c r="B22" s="86"/>
      <c r="C22" s="86"/>
      <c r="D22" s="86"/>
      <c r="E22" s="86"/>
      <c r="F22" s="86"/>
      <c r="G22" s="86"/>
      <c r="H22" s="86"/>
    </row>
    <row r="23" spans="1:8" x14ac:dyDescent="0.35">
      <c r="A23" s="86"/>
      <c r="B23" s="86"/>
      <c r="C23" s="86"/>
      <c r="D23" s="86"/>
      <c r="E23" s="86"/>
      <c r="F23" s="86"/>
      <c r="G23" s="86"/>
      <c r="H23" s="86"/>
    </row>
    <row r="24" spans="1:8" ht="15.5" x14ac:dyDescent="0.35">
      <c r="A24" s="422" t="s">
        <v>91</v>
      </c>
      <c r="B24" s="422"/>
      <c r="C24" s="422"/>
      <c r="D24" s="422"/>
      <c r="E24" s="422"/>
      <c r="F24" s="86"/>
      <c r="G24" s="86"/>
      <c r="H24" s="86"/>
    </row>
    <row r="25" spans="1:8" ht="15.5" x14ac:dyDescent="0.35">
      <c r="A25" s="422" t="s">
        <v>92</v>
      </c>
      <c r="B25" s="422"/>
      <c r="C25" s="422"/>
      <c r="D25" s="422"/>
      <c r="E25" s="422"/>
      <c r="F25" s="86"/>
      <c r="G25" s="86"/>
      <c r="H25" s="86"/>
    </row>
    <row r="26" spans="1:8" x14ac:dyDescent="0.35">
      <c r="A26" s="86"/>
      <c r="B26" s="86"/>
      <c r="C26" s="86"/>
      <c r="D26" s="86"/>
      <c r="E26" s="86"/>
      <c r="F26" s="86"/>
      <c r="G26" s="86"/>
      <c r="H26" s="86"/>
    </row>
    <row r="27" spans="1:8" ht="15.5" x14ac:dyDescent="0.35">
      <c r="A27" s="183"/>
      <c r="B27" s="183" t="s">
        <v>180</v>
      </c>
      <c r="C27" s="183" t="s">
        <v>94</v>
      </c>
      <c r="D27" s="183" t="s">
        <v>95</v>
      </c>
      <c r="E27" s="183" t="s">
        <v>96</v>
      </c>
      <c r="H27" s="86"/>
    </row>
    <row r="28" spans="1:8" ht="15.5" x14ac:dyDescent="0.35">
      <c r="A28" s="89" t="s">
        <v>98</v>
      </c>
      <c r="B28" s="187">
        <v>0</v>
      </c>
      <c r="C28" s="186">
        <f>IF(SUMIFS('Raw Data Entry'!$G$2:$G$4964,'Raw Data Entry'!$A$2:$A$4964,"*"&amp;SUBSTITUTE(TRIM(SUBSTITUTE(C$27,CHAR(160),"")),"FY","")&amp;"-*")=0,"-",SUMIFS('Raw Data Entry'!$G$2:$G$4964,'Raw Data Entry'!$A$2:$A$4964,"*"&amp;SUBSTITUTE(TRIM(SUBSTITUTE(C$27,CHAR(160),"")),"FY","")&amp;"-*"))</f>
        <v>27695</v>
      </c>
      <c r="D28" s="187">
        <v>0</v>
      </c>
      <c r="E28" s="188">
        <f>SUM(B28:B28)</f>
        <v>0</v>
      </c>
      <c r="H28" s="86"/>
    </row>
    <row r="29" spans="1:8" ht="15.5" x14ac:dyDescent="0.35">
      <c r="A29" s="89" t="s">
        <v>100</v>
      </c>
      <c r="B29" s="187">
        <v>0</v>
      </c>
      <c r="C29" s="186">
        <f>SUM(CTC!K11:P11)</f>
        <v>279308.64</v>
      </c>
      <c r="D29" s="186">
        <f>SUM(CTC!Q11:AB11)</f>
        <v>1508914.8517368</v>
      </c>
      <c r="E29" s="188">
        <f>SUM(B29:B29)</f>
        <v>0</v>
      </c>
      <c r="H29" s="86"/>
    </row>
    <row r="30" spans="1:8" ht="15.5" x14ac:dyDescent="0.35">
      <c r="A30" s="89" t="s">
        <v>102</v>
      </c>
      <c r="B30" s="187"/>
      <c r="C30" s="186">
        <f>SUM(C28:C29)</f>
        <v>307003.64</v>
      </c>
      <c r="D30" s="186">
        <f>SUM(D28:D29)</f>
        <v>1508914.8517368</v>
      </c>
      <c r="E30" s="188">
        <f>SUM(B30:B30)</f>
        <v>0</v>
      </c>
      <c r="H30" s="86"/>
    </row>
    <row r="31" spans="1:8" ht="15.5" x14ac:dyDescent="0.35">
      <c r="A31" s="89" t="s">
        <v>104</v>
      </c>
      <c r="B31" s="187"/>
      <c r="C31" s="189">
        <v>1739999.53</v>
      </c>
      <c r="D31" s="186">
        <v>2766228.48</v>
      </c>
      <c r="E31" s="188">
        <f>SUM(B31:B31)</f>
        <v>0</v>
      </c>
      <c r="H31" s="86"/>
    </row>
    <row r="32" spans="1:8" ht="15.5" x14ac:dyDescent="0.35">
      <c r="A32" s="89" t="s">
        <v>106</v>
      </c>
      <c r="B32" s="186"/>
      <c r="C32" s="186">
        <f>C31-C30</f>
        <v>1432995.8900000001</v>
      </c>
      <c r="D32" s="186">
        <f>D31-D30</f>
        <v>1257313.6282631999</v>
      </c>
      <c r="E32" s="188">
        <f>SUM(B32:B32)</f>
        <v>0</v>
      </c>
      <c r="H32" s="86"/>
    </row>
    <row r="35" spans="1:8" ht="15.5" x14ac:dyDescent="0.35">
      <c r="A35" s="89" t="s">
        <v>181</v>
      </c>
    </row>
    <row r="36" spans="1:8" ht="15" thickBot="1" x14ac:dyDescent="0.4"/>
    <row r="37" spans="1:8" ht="15" thickBot="1" x14ac:dyDescent="0.4">
      <c r="A37" s="190" t="s">
        <v>125</v>
      </c>
      <c r="B37" s="190"/>
      <c r="C37" s="190" t="s">
        <v>19</v>
      </c>
      <c r="D37" s="190" t="s">
        <v>126</v>
      </c>
      <c r="E37" s="190" t="s">
        <v>127</v>
      </c>
      <c r="F37" s="190" t="s">
        <v>16</v>
      </c>
      <c r="G37" s="190"/>
      <c r="H37" s="190"/>
    </row>
    <row r="38" spans="1:8" ht="30" customHeight="1" x14ac:dyDescent="0.35">
      <c r="A38" s="226" t="s">
        <v>128</v>
      </c>
      <c r="B38" s="226"/>
      <c r="C38" s="226" t="s">
        <v>129</v>
      </c>
      <c r="D38" s="227">
        <v>100000</v>
      </c>
      <c r="E38" s="226" t="s">
        <v>130</v>
      </c>
      <c r="F38" s="484" t="s">
        <v>131</v>
      </c>
      <c r="G38" s="484"/>
      <c r="H38" s="484"/>
    </row>
    <row r="39" spans="1:8" ht="15" thickBot="1" x14ac:dyDescent="0.4">
      <c r="A39" t="s">
        <v>182</v>
      </c>
      <c r="C39" t="s">
        <v>129</v>
      </c>
      <c r="D39" s="149">
        <v>20000</v>
      </c>
      <c r="E39" t="s">
        <v>133</v>
      </c>
    </row>
    <row r="40" spans="1:8" ht="28.5" customHeight="1" x14ac:dyDescent="0.35">
      <c r="A40" s="184" t="s">
        <v>183</v>
      </c>
      <c r="B40" s="184"/>
      <c r="C40" s="184" t="s">
        <v>129</v>
      </c>
      <c r="D40" s="228">
        <v>0</v>
      </c>
      <c r="E40" s="184" t="s">
        <v>135</v>
      </c>
      <c r="F40" s="484" t="s">
        <v>184</v>
      </c>
      <c r="G40" s="484"/>
      <c r="H40" s="484"/>
    </row>
    <row r="41" spans="1:8" x14ac:dyDescent="0.35">
      <c r="D41" s="149"/>
    </row>
    <row r="42" spans="1:8" x14ac:dyDescent="0.35">
      <c r="A42" s="184"/>
      <c r="B42" s="184"/>
      <c r="C42" s="184"/>
      <c r="D42" s="228"/>
      <c r="E42" s="184"/>
      <c r="F42" s="184"/>
      <c r="G42" s="184"/>
      <c r="H42" s="184"/>
    </row>
    <row r="43" spans="1:8" x14ac:dyDescent="0.35">
      <c r="D43" s="149"/>
    </row>
    <row r="44" spans="1:8" x14ac:dyDescent="0.35">
      <c r="A44" s="184"/>
      <c r="B44" s="184"/>
      <c r="C44" s="184"/>
      <c r="D44" s="184"/>
      <c r="E44" s="184"/>
      <c r="F44" s="184"/>
      <c r="G44" s="184"/>
      <c r="H44" s="184"/>
    </row>
    <row r="45" spans="1:8" ht="15" thickBot="1" x14ac:dyDescent="0.4">
      <c r="A45" s="185"/>
      <c r="B45" s="185"/>
      <c r="C45" s="185"/>
      <c r="D45" s="185"/>
      <c r="E45" s="185"/>
      <c r="F45" s="185"/>
      <c r="G45" s="185"/>
      <c r="H45" s="185"/>
    </row>
    <row r="47" spans="1:8" ht="15.5" x14ac:dyDescent="0.35">
      <c r="A47" s="89" t="s">
        <v>185</v>
      </c>
    </row>
    <row r="48" spans="1:8" ht="16" thickBot="1" x14ac:dyDescent="0.4">
      <c r="F48" s="89"/>
      <c r="G48" s="89" t="s">
        <v>186</v>
      </c>
    </row>
    <row r="49" spans="1:8" ht="15" thickBot="1" x14ac:dyDescent="0.4">
      <c r="A49" s="190" t="s">
        <v>125</v>
      </c>
      <c r="B49" s="190" t="s">
        <v>19</v>
      </c>
      <c r="C49" s="190" t="s">
        <v>126</v>
      </c>
      <c r="D49" s="190" t="s">
        <v>16</v>
      </c>
      <c r="E49" s="190"/>
    </row>
    <row r="50" spans="1:8" x14ac:dyDescent="0.35">
      <c r="A50" s="191" t="s">
        <v>139</v>
      </c>
      <c r="B50" s="191" t="s">
        <v>140</v>
      </c>
      <c r="C50" s="229">
        <v>160000</v>
      </c>
      <c r="D50" s="191" t="s">
        <v>141</v>
      </c>
      <c r="E50" s="191"/>
      <c r="G50" t="s">
        <v>187</v>
      </c>
      <c r="H50" s="195">
        <v>537225</v>
      </c>
    </row>
    <row r="51" spans="1:8" x14ac:dyDescent="0.35">
      <c r="A51" t="s">
        <v>142</v>
      </c>
      <c r="B51" t="s">
        <v>143</v>
      </c>
      <c r="C51" s="149">
        <v>36000</v>
      </c>
      <c r="D51" t="s">
        <v>141</v>
      </c>
      <c r="G51" t="s">
        <v>101</v>
      </c>
      <c r="H51" s="151">
        <f>H50-H52</f>
        <v>537225</v>
      </c>
    </row>
    <row r="52" spans="1:8" x14ac:dyDescent="0.35">
      <c r="A52" s="184" t="s">
        <v>188</v>
      </c>
      <c r="B52" s="184" t="s">
        <v>143</v>
      </c>
      <c r="C52" s="228">
        <v>121000</v>
      </c>
      <c r="D52" s="184" t="s">
        <v>141</v>
      </c>
      <c r="E52" s="184"/>
      <c r="G52" t="s">
        <v>189</v>
      </c>
      <c r="H52" s="195">
        <f>Contingency!E20</f>
        <v>0</v>
      </c>
    </row>
    <row r="53" spans="1:8" x14ac:dyDescent="0.35">
      <c r="C53" s="149"/>
      <c r="G53" t="s">
        <v>190</v>
      </c>
      <c r="H53">
        <f>SUM(Contingency!F3:F20)</f>
        <v>0</v>
      </c>
    </row>
    <row r="54" spans="1:8" x14ac:dyDescent="0.35">
      <c r="A54" s="184"/>
      <c r="B54" s="184"/>
      <c r="C54" s="184"/>
      <c r="D54" s="184"/>
      <c r="E54" s="184"/>
    </row>
    <row r="56" spans="1:8" x14ac:dyDescent="0.35">
      <c r="A56" s="184"/>
      <c r="B56" s="184"/>
      <c r="C56" s="184"/>
      <c r="D56" s="184"/>
      <c r="E56" s="184"/>
    </row>
    <row r="57" spans="1:8" ht="15" thickBot="1" x14ac:dyDescent="0.4">
      <c r="A57" s="185"/>
      <c r="B57" s="185"/>
      <c r="C57" s="185"/>
      <c r="D57" s="185"/>
      <c r="E57" s="185"/>
    </row>
  </sheetData>
  <mergeCells count="5">
    <mergeCell ref="F40:H40"/>
    <mergeCell ref="A2:B2"/>
    <mergeCell ref="A24:E24"/>
    <mergeCell ref="A25:E25"/>
    <mergeCell ref="F38:H38"/>
  </mergeCells>
  <conditionalFormatting sqref="A10:H20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4C10B-B5B6-4EAC-A36A-005D20DA0964}">
  <sheetPr codeName="Sheet3"/>
  <dimension ref="A1:B6"/>
  <sheetViews>
    <sheetView workbookViewId="0">
      <selection activeCell="A5" sqref="A5:B5"/>
    </sheetView>
  </sheetViews>
  <sheetFormatPr defaultRowHeight="14.5" x14ac:dyDescent="0.35"/>
  <cols>
    <col min="1" max="1" width="15" customWidth="1"/>
    <col min="2" max="2" width="27.81640625" customWidth="1"/>
  </cols>
  <sheetData>
    <row r="1" spans="1:2" x14ac:dyDescent="0.35">
      <c r="A1" t="s">
        <v>191</v>
      </c>
      <c r="B1" t="s">
        <v>192</v>
      </c>
    </row>
    <row r="2" spans="1:2" x14ac:dyDescent="0.35">
      <c r="A2" t="str" cm="1">
        <f t="array" ref="A2:B6">_xlfn.LET(
    _xlpm.tasks,'Raw Data Entry'!$B$2:$B$4923,
    _xlpm.names,TRIM('Raw Data Entry'!$V$2:$V$4923),
    _xlfn._xlws.SORT(_xlfn.UNIQUE(_xlfn._xlws.FILTER(_xlfn.HSTACK(_xlpm.tasks,_xlpm.names),(_xlpm.tasks&lt;&gt;"")*(_xlpm.names&lt;&gt;""))))
)</f>
        <v>WA57102001</v>
      </c>
      <c r="B2" t="str">
        <v>Daniel Robert Drummond</v>
      </c>
    </row>
    <row r="3" spans="1:2" x14ac:dyDescent="0.35">
      <c r="A3" t="str">
        <v>WA57102001</v>
      </c>
      <c r="B3" t="str">
        <v>Flex Projects L</v>
      </c>
    </row>
    <row r="4" spans="1:2" x14ac:dyDescent="0.35">
      <c r="A4" t="str">
        <v>WA57102001</v>
      </c>
      <c r="B4" t="str">
        <v>Stanley Drake</v>
      </c>
    </row>
    <row r="5" spans="1:2" x14ac:dyDescent="0.35">
      <c r="A5" t="str">
        <v>WA57102002</v>
      </c>
      <c r="B5" t="str">
        <v>Scott Ryan</v>
      </c>
    </row>
    <row r="6" spans="1:2" x14ac:dyDescent="0.35">
      <c r="A6" t="str">
        <v>WA57102002</v>
      </c>
      <c r="B6" t="str">
        <v>Gregory Parkin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83C4BCE-8AB8-4586-A7E2-275C55459FAA}">
            <xm:f>AND($A2&lt;&gt;"",$B2&lt;&gt;"",COUNTIFS(CTC!$A:$A,$A2,CTC!$B:$B,$B2)=0)</xm:f>
            <x14:dxf>
              <fill>
                <patternFill>
                  <bgColor theme="5" tint="0.39994506668294322"/>
                </patternFill>
              </fill>
            </x14:dxf>
          </x14:cfRule>
          <xm:sqref>A2:B1000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F2F67-8F0E-4361-AB30-D94542158AC3}">
  <sheetPr codeName="Sheet4"/>
  <dimension ref="A1:V1112"/>
  <sheetViews>
    <sheetView zoomScale="85" zoomScaleNormal="85" workbookViewId="0">
      <pane ySplit="1" topLeftCell="A16" activePane="bottomLeft" state="frozen"/>
      <selection pane="bottomLeft" activeCell="A43" sqref="A43:A64"/>
    </sheetView>
  </sheetViews>
  <sheetFormatPr defaultRowHeight="14.5" x14ac:dyDescent="0.35"/>
  <cols>
    <col min="2" max="2" width="14.1796875" customWidth="1"/>
    <col min="3" max="3" width="3.1796875" customWidth="1"/>
    <col min="4" max="4" width="10.1796875" bestFit="1" customWidth="1"/>
    <col min="8" max="12" width="8.7265625" customWidth="1"/>
    <col min="13" max="13" width="21.453125" customWidth="1"/>
    <col min="15" max="15" width="10.1796875" bestFit="1" customWidth="1"/>
    <col min="17" max="17" width="17.1796875" customWidth="1"/>
    <col min="18" max="18" width="13.453125" customWidth="1"/>
    <col min="19" max="19" width="20.7265625" customWidth="1"/>
    <col min="20" max="20" width="18.81640625" customWidth="1"/>
    <col min="21" max="21" width="31.26953125" bestFit="1" customWidth="1"/>
    <col min="22" max="22" width="18.1796875" bestFit="1" customWidth="1"/>
  </cols>
  <sheetData>
    <row r="1" spans="1:22" x14ac:dyDescent="0.35">
      <c r="A1" s="2" t="s">
        <v>193</v>
      </c>
      <c r="B1" s="2" t="s">
        <v>191</v>
      </c>
      <c r="C1" s="2" t="s">
        <v>194</v>
      </c>
      <c r="D1" s="2" t="s">
        <v>195</v>
      </c>
      <c r="E1" s="2" t="s">
        <v>196</v>
      </c>
      <c r="F1" s="2" t="s">
        <v>197</v>
      </c>
      <c r="G1" s="2" t="s">
        <v>198</v>
      </c>
      <c r="H1" s="2" t="s">
        <v>199</v>
      </c>
      <c r="I1" s="2" t="s">
        <v>200</v>
      </c>
      <c r="J1" s="2" t="s">
        <v>19</v>
      </c>
      <c r="K1" s="2" t="s">
        <v>201</v>
      </c>
      <c r="L1" s="2" t="s">
        <v>202</v>
      </c>
      <c r="M1" s="2" t="s">
        <v>203</v>
      </c>
      <c r="N1" s="2" t="s">
        <v>204</v>
      </c>
      <c r="O1" s="2" t="s">
        <v>205</v>
      </c>
      <c r="P1" s="2" t="s">
        <v>206</v>
      </c>
      <c r="Q1" s="2" t="s">
        <v>207</v>
      </c>
      <c r="R1" s="2" t="s">
        <v>208</v>
      </c>
      <c r="S1" s="2" t="s">
        <v>209</v>
      </c>
      <c r="T1" s="2" t="s">
        <v>210</v>
      </c>
      <c r="U1" s="2" t="s">
        <v>18</v>
      </c>
      <c r="V1" s="8" t="s">
        <v>192</v>
      </c>
    </row>
    <row r="2" spans="1:22" x14ac:dyDescent="0.35">
      <c r="A2" s="7" t="s">
        <v>153</v>
      </c>
      <c r="B2" s="7" t="s">
        <v>157</v>
      </c>
      <c r="C2" s="343">
        <v>4</v>
      </c>
      <c r="D2" s="344">
        <v>45949</v>
      </c>
      <c r="E2" s="7">
        <v>2</v>
      </c>
      <c r="F2" s="7">
        <v>100</v>
      </c>
      <c r="G2" s="7">
        <v>200</v>
      </c>
      <c r="H2" s="7" t="s">
        <v>211</v>
      </c>
      <c r="I2" s="7" t="s">
        <v>212</v>
      </c>
      <c r="J2" s="7" t="s">
        <v>213</v>
      </c>
      <c r="K2" s="7" t="s">
        <v>214</v>
      </c>
      <c r="L2" s="7" t="s">
        <v>215</v>
      </c>
      <c r="M2" s="7" t="s">
        <v>159</v>
      </c>
      <c r="N2" s="7" t="s">
        <v>216</v>
      </c>
      <c r="O2" s="7" t="s">
        <v>214</v>
      </c>
      <c r="P2" s="7"/>
      <c r="Q2" s="7"/>
      <c r="R2" s="7" t="s">
        <v>217</v>
      </c>
      <c r="S2" s="7" t="s">
        <v>218</v>
      </c>
      <c r="T2" s="7" t="s">
        <v>214</v>
      </c>
      <c r="U2" s="7" t="s">
        <v>159</v>
      </c>
      <c r="V2" s="343" t="s">
        <v>159</v>
      </c>
    </row>
    <row r="3" spans="1:22" x14ac:dyDescent="0.35">
      <c r="A3" s="7" t="s">
        <v>154</v>
      </c>
      <c r="B3" s="7" t="s">
        <v>157</v>
      </c>
      <c r="C3" s="343">
        <v>6</v>
      </c>
      <c r="D3" s="344">
        <v>45991</v>
      </c>
      <c r="E3" s="7">
        <v>1</v>
      </c>
      <c r="F3" s="7">
        <v>0</v>
      </c>
      <c r="G3" s="7">
        <v>840</v>
      </c>
      <c r="H3" s="7" t="s">
        <v>211</v>
      </c>
      <c r="I3" s="7" t="s">
        <v>219</v>
      </c>
      <c r="J3" s="7" t="s">
        <v>213</v>
      </c>
      <c r="K3" s="7" t="s">
        <v>214</v>
      </c>
      <c r="L3" s="7" t="s">
        <v>220</v>
      </c>
      <c r="M3" s="7" t="s">
        <v>221</v>
      </c>
      <c r="N3" s="7" t="s">
        <v>222</v>
      </c>
      <c r="O3" s="7" t="s">
        <v>214</v>
      </c>
      <c r="P3" s="7"/>
      <c r="Q3" s="7"/>
      <c r="R3" s="7" t="s">
        <v>223</v>
      </c>
      <c r="S3" s="7" t="s">
        <v>224</v>
      </c>
      <c r="T3" s="7" t="s">
        <v>160</v>
      </c>
      <c r="U3" s="7"/>
      <c r="V3" s="343" t="s">
        <v>160</v>
      </c>
    </row>
    <row r="4" spans="1:22" x14ac:dyDescent="0.35">
      <c r="A4" s="7" t="s">
        <v>154</v>
      </c>
      <c r="B4" s="7" t="s">
        <v>161</v>
      </c>
      <c r="C4" s="343">
        <v>6</v>
      </c>
      <c r="D4" s="344">
        <v>46019</v>
      </c>
      <c r="E4" s="7">
        <v>2</v>
      </c>
      <c r="F4" s="7">
        <v>155</v>
      </c>
      <c r="G4" s="7">
        <v>310</v>
      </c>
      <c r="H4" s="7" t="s">
        <v>211</v>
      </c>
      <c r="I4" s="7" t="s">
        <v>212</v>
      </c>
      <c r="J4" s="7" t="s">
        <v>213</v>
      </c>
      <c r="K4" s="7" t="s">
        <v>214</v>
      </c>
      <c r="L4" s="7" t="s">
        <v>225</v>
      </c>
      <c r="M4" s="7" t="s">
        <v>162</v>
      </c>
      <c r="N4" s="7" t="s">
        <v>216</v>
      </c>
      <c r="O4" s="7" t="s">
        <v>214</v>
      </c>
      <c r="P4" s="7"/>
      <c r="Q4" s="7"/>
      <c r="R4" s="7" t="s">
        <v>226</v>
      </c>
      <c r="S4" s="7" t="s">
        <v>218</v>
      </c>
      <c r="T4" s="7" t="s">
        <v>214</v>
      </c>
      <c r="U4" s="7" t="s">
        <v>162</v>
      </c>
      <c r="V4" s="343" t="s">
        <v>162</v>
      </c>
    </row>
    <row r="5" spans="1:22" x14ac:dyDescent="0.35">
      <c r="A5" s="7" t="s">
        <v>154</v>
      </c>
      <c r="B5" s="7" t="s">
        <v>161</v>
      </c>
      <c r="C5" s="343">
        <v>6</v>
      </c>
      <c r="D5" s="344">
        <v>46019</v>
      </c>
      <c r="E5" s="7">
        <v>2</v>
      </c>
      <c r="F5" s="7">
        <v>155</v>
      </c>
      <c r="G5" s="7">
        <v>310</v>
      </c>
      <c r="H5" s="7" t="s">
        <v>211</v>
      </c>
      <c r="I5" s="7" t="s">
        <v>212</v>
      </c>
      <c r="J5" s="7" t="s">
        <v>213</v>
      </c>
      <c r="K5" s="7" t="s">
        <v>214</v>
      </c>
      <c r="L5" s="7" t="s">
        <v>225</v>
      </c>
      <c r="M5" s="7" t="s">
        <v>162</v>
      </c>
      <c r="N5" s="7" t="s">
        <v>216</v>
      </c>
      <c r="O5" s="7" t="s">
        <v>214</v>
      </c>
      <c r="P5" s="7"/>
      <c r="Q5" s="7"/>
      <c r="R5" s="7" t="s">
        <v>227</v>
      </c>
      <c r="S5" s="7" t="s">
        <v>218</v>
      </c>
      <c r="T5" s="7" t="s">
        <v>214</v>
      </c>
      <c r="U5" s="7" t="s">
        <v>162</v>
      </c>
      <c r="V5" s="343" t="s">
        <v>162</v>
      </c>
    </row>
    <row r="6" spans="1:22" x14ac:dyDescent="0.35">
      <c r="A6" s="7" t="s">
        <v>27</v>
      </c>
      <c r="B6" s="7" t="s">
        <v>157</v>
      </c>
      <c r="C6" s="343">
        <v>7</v>
      </c>
      <c r="D6" s="344">
        <v>46022</v>
      </c>
      <c r="E6" s="7">
        <v>1</v>
      </c>
      <c r="F6" s="7">
        <v>0</v>
      </c>
      <c r="G6" s="7">
        <v>2240</v>
      </c>
      <c r="H6" s="7" t="s">
        <v>211</v>
      </c>
      <c r="I6" s="7" t="s">
        <v>219</v>
      </c>
      <c r="J6" s="7" t="s">
        <v>213</v>
      </c>
      <c r="K6" s="7" t="s">
        <v>214</v>
      </c>
      <c r="L6" s="7" t="s">
        <v>220</v>
      </c>
      <c r="M6" s="7" t="s">
        <v>221</v>
      </c>
      <c r="N6" s="7" t="s">
        <v>222</v>
      </c>
      <c r="O6" s="7" t="s">
        <v>214</v>
      </c>
      <c r="P6" s="7"/>
      <c r="Q6" s="7"/>
      <c r="R6" s="7" t="s">
        <v>223</v>
      </c>
      <c r="S6" s="7" t="s">
        <v>228</v>
      </c>
      <c r="T6" s="7" t="s">
        <v>160</v>
      </c>
      <c r="U6" s="7"/>
      <c r="V6" s="343" t="s">
        <v>160</v>
      </c>
    </row>
    <row r="7" spans="1:22" x14ac:dyDescent="0.35">
      <c r="A7" s="7" t="s">
        <v>27</v>
      </c>
      <c r="B7" s="7" t="s">
        <v>157</v>
      </c>
      <c r="C7" s="343">
        <v>7</v>
      </c>
      <c r="D7" s="344">
        <v>46047</v>
      </c>
      <c r="E7" s="7">
        <v>2</v>
      </c>
      <c r="F7" s="7">
        <v>150</v>
      </c>
      <c r="G7" s="7">
        <v>300</v>
      </c>
      <c r="H7" s="7" t="s">
        <v>211</v>
      </c>
      <c r="I7" s="7" t="s">
        <v>212</v>
      </c>
      <c r="J7" s="7" t="s">
        <v>213</v>
      </c>
      <c r="K7" s="7" t="s">
        <v>214</v>
      </c>
      <c r="L7" s="7" t="s">
        <v>229</v>
      </c>
      <c r="M7" s="7" t="s">
        <v>158</v>
      </c>
      <c r="N7" s="7" t="s">
        <v>216</v>
      </c>
      <c r="O7" s="7" t="s">
        <v>214</v>
      </c>
      <c r="P7" s="7"/>
      <c r="Q7" s="7"/>
      <c r="R7" s="7" t="s">
        <v>230</v>
      </c>
      <c r="S7" s="7" t="s">
        <v>218</v>
      </c>
      <c r="T7" s="7" t="s">
        <v>214</v>
      </c>
      <c r="U7" s="7" t="s">
        <v>158</v>
      </c>
      <c r="V7" s="343" t="s">
        <v>158</v>
      </c>
    </row>
    <row r="8" spans="1:22" x14ac:dyDescent="0.35">
      <c r="A8" s="7" t="s">
        <v>27</v>
      </c>
      <c r="B8" s="7" t="s">
        <v>157</v>
      </c>
      <c r="C8" s="343">
        <v>7</v>
      </c>
      <c r="D8" s="344">
        <v>46047</v>
      </c>
      <c r="E8" s="7">
        <v>8</v>
      </c>
      <c r="F8" s="7">
        <v>150</v>
      </c>
      <c r="G8" s="7">
        <v>1200</v>
      </c>
      <c r="H8" s="7" t="s">
        <v>211</v>
      </c>
      <c r="I8" s="7" t="s">
        <v>212</v>
      </c>
      <c r="J8" s="7" t="s">
        <v>213</v>
      </c>
      <c r="K8" s="7" t="s">
        <v>214</v>
      </c>
      <c r="L8" s="7" t="s">
        <v>229</v>
      </c>
      <c r="M8" s="7" t="s">
        <v>158</v>
      </c>
      <c r="N8" s="7" t="s">
        <v>216</v>
      </c>
      <c r="O8" s="7" t="s">
        <v>214</v>
      </c>
      <c r="P8" s="7"/>
      <c r="Q8" s="7"/>
      <c r="R8" s="7" t="s">
        <v>231</v>
      </c>
      <c r="S8" s="7" t="s">
        <v>218</v>
      </c>
      <c r="T8" s="7" t="s">
        <v>214</v>
      </c>
      <c r="U8" s="7" t="s">
        <v>158</v>
      </c>
      <c r="V8" s="343" t="s">
        <v>158</v>
      </c>
    </row>
    <row r="9" spans="1:22" x14ac:dyDescent="0.35">
      <c r="A9" s="7" t="s">
        <v>27</v>
      </c>
      <c r="B9" s="7" t="s">
        <v>161</v>
      </c>
      <c r="C9" s="343">
        <v>7</v>
      </c>
      <c r="D9" s="344">
        <v>46047</v>
      </c>
      <c r="E9" s="7">
        <v>1</v>
      </c>
      <c r="F9" s="7">
        <v>150</v>
      </c>
      <c r="G9" s="7">
        <v>150</v>
      </c>
      <c r="H9" s="7" t="s">
        <v>211</v>
      </c>
      <c r="I9" s="7" t="s">
        <v>212</v>
      </c>
      <c r="J9" s="7" t="s">
        <v>213</v>
      </c>
      <c r="K9" s="7" t="s">
        <v>214</v>
      </c>
      <c r="L9" s="7" t="s">
        <v>232</v>
      </c>
      <c r="M9" s="7" t="s">
        <v>163</v>
      </c>
      <c r="N9" s="7" t="s">
        <v>216</v>
      </c>
      <c r="O9" s="7" t="s">
        <v>214</v>
      </c>
      <c r="P9" s="7"/>
      <c r="Q9" s="7"/>
      <c r="R9" s="7" t="s">
        <v>233</v>
      </c>
      <c r="S9" s="7" t="s">
        <v>218</v>
      </c>
      <c r="T9" s="7" t="s">
        <v>214</v>
      </c>
      <c r="U9" s="7" t="s">
        <v>163</v>
      </c>
      <c r="V9" s="343" t="s">
        <v>163</v>
      </c>
    </row>
    <row r="10" spans="1:22" x14ac:dyDescent="0.35">
      <c r="A10" s="7" t="s">
        <v>27</v>
      </c>
      <c r="B10" s="7" t="s">
        <v>161</v>
      </c>
      <c r="C10" s="343">
        <v>7</v>
      </c>
      <c r="D10" s="344">
        <v>46047</v>
      </c>
      <c r="E10" s="7">
        <v>1</v>
      </c>
      <c r="F10" s="7">
        <v>150</v>
      </c>
      <c r="G10" s="7">
        <v>150</v>
      </c>
      <c r="H10" s="7" t="s">
        <v>211</v>
      </c>
      <c r="I10" s="7" t="s">
        <v>212</v>
      </c>
      <c r="J10" s="7" t="s">
        <v>213</v>
      </c>
      <c r="K10" s="7" t="s">
        <v>214</v>
      </c>
      <c r="L10" s="7" t="s">
        <v>232</v>
      </c>
      <c r="M10" s="7" t="s">
        <v>163</v>
      </c>
      <c r="N10" s="7" t="s">
        <v>216</v>
      </c>
      <c r="O10" s="7" t="s">
        <v>214</v>
      </c>
      <c r="P10" s="7"/>
      <c r="Q10" s="7"/>
      <c r="R10" s="7" t="s">
        <v>234</v>
      </c>
      <c r="S10" s="7" t="s">
        <v>218</v>
      </c>
      <c r="T10" s="7" t="s">
        <v>214</v>
      </c>
      <c r="U10" s="7" t="s">
        <v>163</v>
      </c>
      <c r="V10" s="343" t="s">
        <v>163</v>
      </c>
    </row>
    <row r="11" spans="1:22" x14ac:dyDescent="0.35">
      <c r="A11" s="7" t="s">
        <v>27</v>
      </c>
      <c r="B11" s="7" t="s">
        <v>161</v>
      </c>
      <c r="C11" s="343">
        <v>7</v>
      </c>
      <c r="D11" s="344">
        <v>46047</v>
      </c>
      <c r="E11" s="7">
        <v>1</v>
      </c>
      <c r="F11" s="7">
        <v>150</v>
      </c>
      <c r="G11" s="7">
        <v>150</v>
      </c>
      <c r="H11" s="7" t="s">
        <v>211</v>
      </c>
      <c r="I11" s="7" t="s">
        <v>212</v>
      </c>
      <c r="J11" s="7" t="s">
        <v>213</v>
      </c>
      <c r="K11" s="7" t="s">
        <v>214</v>
      </c>
      <c r="L11" s="7" t="s">
        <v>232</v>
      </c>
      <c r="M11" s="7" t="s">
        <v>163</v>
      </c>
      <c r="N11" s="7" t="s">
        <v>216</v>
      </c>
      <c r="O11" s="7" t="s">
        <v>214</v>
      </c>
      <c r="P11" s="7"/>
      <c r="Q11" s="7"/>
      <c r="R11" s="7" t="s">
        <v>235</v>
      </c>
      <c r="S11" s="7" t="s">
        <v>218</v>
      </c>
      <c r="T11" s="7" t="s">
        <v>214</v>
      </c>
      <c r="U11" s="7" t="s">
        <v>163</v>
      </c>
      <c r="V11" s="343" t="s">
        <v>163</v>
      </c>
    </row>
    <row r="12" spans="1:22" x14ac:dyDescent="0.35">
      <c r="A12" s="7" t="s">
        <v>27</v>
      </c>
      <c r="B12" s="7" t="s">
        <v>161</v>
      </c>
      <c r="C12" s="343">
        <v>7</v>
      </c>
      <c r="D12" s="344">
        <v>46047</v>
      </c>
      <c r="E12" s="7">
        <v>4</v>
      </c>
      <c r="F12" s="7">
        <v>150</v>
      </c>
      <c r="G12" s="7">
        <v>600</v>
      </c>
      <c r="H12" s="7" t="s">
        <v>211</v>
      </c>
      <c r="I12" s="7" t="s">
        <v>212</v>
      </c>
      <c r="J12" s="7" t="s">
        <v>213</v>
      </c>
      <c r="K12" s="7" t="s">
        <v>214</v>
      </c>
      <c r="L12" s="7" t="s">
        <v>232</v>
      </c>
      <c r="M12" s="7" t="s">
        <v>163</v>
      </c>
      <c r="N12" s="7" t="s">
        <v>216</v>
      </c>
      <c r="O12" s="7" t="s">
        <v>214</v>
      </c>
      <c r="P12" s="7"/>
      <c r="Q12" s="7"/>
      <c r="R12" s="7" t="s">
        <v>236</v>
      </c>
      <c r="S12" s="7" t="s">
        <v>218</v>
      </c>
      <c r="T12" s="7" t="s">
        <v>214</v>
      </c>
      <c r="U12" s="7" t="s">
        <v>163</v>
      </c>
      <c r="V12" s="343" t="s">
        <v>163</v>
      </c>
    </row>
    <row r="13" spans="1:22" x14ac:dyDescent="0.35">
      <c r="A13" s="7" t="s">
        <v>27</v>
      </c>
      <c r="B13" s="7" t="s">
        <v>161</v>
      </c>
      <c r="C13" s="343">
        <v>7</v>
      </c>
      <c r="D13" s="344">
        <v>46047</v>
      </c>
      <c r="E13" s="7">
        <v>3</v>
      </c>
      <c r="F13" s="7">
        <v>155</v>
      </c>
      <c r="G13" s="7">
        <v>465</v>
      </c>
      <c r="H13" s="7" t="s">
        <v>211</v>
      </c>
      <c r="I13" s="7" t="s">
        <v>212</v>
      </c>
      <c r="J13" s="7" t="s">
        <v>213</v>
      </c>
      <c r="K13" s="7" t="s">
        <v>214</v>
      </c>
      <c r="L13" s="7" t="s">
        <v>225</v>
      </c>
      <c r="M13" s="7" t="s">
        <v>162</v>
      </c>
      <c r="N13" s="7" t="s">
        <v>216</v>
      </c>
      <c r="O13" s="7" t="s">
        <v>214</v>
      </c>
      <c r="P13" s="7"/>
      <c r="Q13" s="7"/>
      <c r="R13" s="7" t="s">
        <v>237</v>
      </c>
      <c r="S13" s="7" t="s">
        <v>218</v>
      </c>
      <c r="T13" s="7" t="s">
        <v>214</v>
      </c>
      <c r="U13" s="7" t="s">
        <v>162</v>
      </c>
      <c r="V13" s="343" t="s">
        <v>162</v>
      </c>
    </row>
    <row r="14" spans="1:22" x14ac:dyDescent="0.35">
      <c r="A14" s="7" t="s">
        <v>27</v>
      </c>
      <c r="B14" s="7" t="s">
        <v>161</v>
      </c>
      <c r="C14" s="343">
        <v>7</v>
      </c>
      <c r="D14" s="344">
        <v>46047</v>
      </c>
      <c r="E14" s="7">
        <v>3</v>
      </c>
      <c r="F14" s="7">
        <v>155</v>
      </c>
      <c r="G14" s="7">
        <v>465</v>
      </c>
      <c r="H14" s="7" t="s">
        <v>211</v>
      </c>
      <c r="I14" s="7" t="s">
        <v>212</v>
      </c>
      <c r="J14" s="7" t="s">
        <v>213</v>
      </c>
      <c r="K14" s="7" t="s">
        <v>214</v>
      </c>
      <c r="L14" s="7" t="s">
        <v>225</v>
      </c>
      <c r="M14" s="7" t="s">
        <v>162</v>
      </c>
      <c r="N14" s="7" t="s">
        <v>216</v>
      </c>
      <c r="O14" s="7" t="s">
        <v>214</v>
      </c>
      <c r="P14" s="7"/>
      <c r="Q14" s="7"/>
      <c r="R14" s="7" t="s">
        <v>238</v>
      </c>
      <c r="S14" s="7" t="s">
        <v>218</v>
      </c>
      <c r="T14" s="7" t="s">
        <v>214</v>
      </c>
      <c r="U14" s="7" t="s">
        <v>162</v>
      </c>
      <c r="V14" s="343" t="s">
        <v>162</v>
      </c>
    </row>
    <row r="15" spans="1:22" x14ac:dyDescent="0.35">
      <c r="A15" s="7" t="s">
        <v>27</v>
      </c>
      <c r="B15" s="7" t="s">
        <v>161</v>
      </c>
      <c r="C15" s="343">
        <v>7</v>
      </c>
      <c r="D15" s="344">
        <v>46047</v>
      </c>
      <c r="E15" s="7">
        <v>3</v>
      </c>
      <c r="F15" s="7">
        <v>155</v>
      </c>
      <c r="G15" s="7">
        <v>465</v>
      </c>
      <c r="H15" s="7" t="s">
        <v>211</v>
      </c>
      <c r="I15" s="7" t="s">
        <v>212</v>
      </c>
      <c r="J15" s="7" t="s">
        <v>213</v>
      </c>
      <c r="K15" s="7" t="s">
        <v>214</v>
      </c>
      <c r="L15" s="7" t="s">
        <v>225</v>
      </c>
      <c r="M15" s="7" t="s">
        <v>162</v>
      </c>
      <c r="N15" s="7" t="s">
        <v>216</v>
      </c>
      <c r="O15" s="7" t="s">
        <v>214</v>
      </c>
      <c r="P15" s="7"/>
      <c r="Q15" s="7"/>
      <c r="R15" s="7" t="s">
        <v>239</v>
      </c>
      <c r="S15" s="7" t="s">
        <v>218</v>
      </c>
      <c r="T15" s="7" t="s">
        <v>214</v>
      </c>
      <c r="U15" s="7" t="s">
        <v>162</v>
      </c>
      <c r="V15" s="343" t="s">
        <v>162</v>
      </c>
    </row>
    <row r="16" spans="1:22" x14ac:dyDescent="0.35">
      <c r="A16" s="7" t="s">
        <v>27</v>
      </c>
      <c r="B16" s="7" t="s">
        <v>161</v>
      </c>
      <c r="C16" s="343">
        <v>7</v>
      </c>
      <c r="D16" s="344">
        <v>46047</v>
      </c>
      <c r="E16" s="7">
        <v>3</v>
      </c>
      <c r="F16" s="7">
        <v>155</v>
      </c>
      <c r="G16" s="7">
        <v>465</v>
      </c>
      <c r="H16" s="7" t="s">
        <v>211</v>
      </c>
      <c r="I16" s="7" t="s">
        <v>212</v>
      </c>
      <c r="J16" s="7" t="s">
        <v>213</v>
      </c>
      <c r="K16" s="7" t="s">
        <v>214</v>
      </c>
      <c r="L16" s="7" t="s">
        <v>225</v>
      </c>
      <c r="M16" s="7" t="s">
        <v>162</v>
      </c>
      <c r="N16" s="7" t="s">
        <v>216</v>
      </c>
      <c r="O16" s="7" t="s">
        <v>214</v>
      </c>
      <c r="P16" s="7"/>
      <c r="Q16" s="7"/>
      <c r="R16" s="7" t="s">
        <v>240</v>
      </c>
      <c r="S16" s="7" t="s">
        <v>218</v>
      </c>
      <c r="T16" s="7" t="s">
        <v>214</v>
      </c>
      <c r="U16" s="7" t="s">
        <v>162</v>
      </c>
      <c r="V16" s="343" t="s">
        <v>162</v>
      </c>
    </row>
    <row r="17" spans="1:22" x14ac:dyDescent="0.35">
      <c r="A17" s="7" t="s">
        <v>27</v>
      </c>
      <c r="B17" s="7" t="s">
        <v>161</v>
      </c>
      <c r="C17" s="343">
        <v>7</v>
      </c>
      <c r="D17" s="344">
        <v>46047</v>
      </c>
      <c r="E17" s="7">
        <v>2</v>
      </c>
      <c r="F17" s="7">
        <v>155</v>
      </c>
      <c r="G17" s="7">
        <v>310</v>
      </c>
      <c r="H17" s="7" t="s">
        <v>211</v>
      </c>
      <c r="I17" s="7" t="s">
        <v>212</v>
      </c>
      <c r="J17" s="7" t="s">
        <v>213</v>
      </c>
      <c r="K17" s="7" t="s">
        <v>214</v>
      </c>
      <c r="L17" s="7" t="s">
        <v>225</v>
      </c>
      <c r="M17" s="7" t="s">
        <v>162</v>
      </c>
      <c r="N17" s="7" t="s">
        <v>216</v>
      </c>
      <c r="O17" s="7" t="s">
        <v>214</v>
      </c>
      <c r="P17" s="7"/>
      <c r="Q17" s="7"/>
      <c r="R17" s="7" t="s">
        <v>241</v>
      </c>
      <c r="S17" s="7" t="s">
        <v>218</v>
      </c>
      <c r="T17" s="7" t="s">
        <v>214</v>
      </c>
      <c r="U17" s="7" t="s">
        <v>162</v>
      </c>
      <c r="V17" s="343" t="s">
        <v>162</v>
      </c>
    </row>
    <row r="18" spans="1:22" x14ac:dyDescent="0.35">
      <c r="A18" s="7" t="s">
        <v>5</v>
      </c>
      <c r="B18" s="7" t="s">
        <v>157</v>
      </c>
      <c r="C18" s="343">
        <v>8</v>
      </c>
      <c r="D18" s="344">
        <v>46053</v>
      </c>
      <c r="E18" s="7">
        <v>1</v>
      </c>
      <c r="F18" s="7">
        <v>0</v>
      </c>
      <c r="G18" s="7">
        <v>4060</v>
      </c>
      <c r="H18" s="7" t="s">
        <v>211</v>
      </c>
      <c r="I18" s="7" t="s">
        <v>219</v>
      </c>
      <c r="J18" s="7" t="s">
        <v>213</v>
      </c>
      <c r="K18" s="7" t="s">
        <v>214</v>
      </c>
      <c r="L18" s="7" t="s">
        <v>220</v>
      </c>
      <c r="M18" s="7" t="s">
        <v>221</v>
      </c>
      <c r="N18" s="7" t="s">
        <v>222</v>
      </c>
      <c r="O18" s="7" t="s">
        <v>214</v>
      </c>
      <c r="P18" s="7"/>
      <c r="Q18" s="7"/>
      <c r="R18" s="7" t="s">
        <v>223</v>
      </c>
      <c r="S18" s="7" t="s">
        <v>228</v>
      </c>
      <c r="T18" s="7" t="s">
        <v>160</v>
      </c>
      <c r="U18" s="7"/>
      <c r="V18" s="343" t="s">
        <v>160</v>
      </c>
    </row>
    <row r="19" spans="1:22" x14ac:dyDescent="0.35">
      <c r="A19" s="7" t="s">
        <v>5</v>
      </c>
      <c r="B19" s="7" t="s">
        <v>157</v>
      </c>
      <c r="C19" s="343">
        <v>8</v>
      </c>
      <c r="D19" s="344">
        <v>46061</v>
      </c>
      <c r="E19" s="7">
        <v>2</v>
      </c>
      <c r="F19" s="7">
        <v>150</v>
      </c>
      <c r="G19" s="7">
        <v>300</v>
      </c>
      <c r="H19" s="7" t="s">
        <v>211</v>
      </c>
      <c r="I19" s="7" t="s">
        <v>212</v>
      </c>
      <c r="J19" s="7" t="s">
        <v>213</v>
      </c>
      <c r="K19" s="7" t="s">
        <v>214</v>
      </c>
      <c r="L19" s="7" t="s">
        <v>229</v>
      </c>
      <c r="M19" s="7" t="s">
        <v>158</v>
      </c>
      <c r="N19" s="7" t="s">
        <v>216</v>
      </c>
      <c r="O19" s="7" t="s">
        <v>214</v>
      </c>
      <c r="P19" s="7"/>
      <c r="Q19" s="7"/>
      <c r="R19" s="7" t="s">
        <v>242</v>
      </c>
      <c r="S19" s="7" t="s">
        <v>218</v>
      </c>
      <c r="T19" s="7" t="s">
        <v>214</v>
      </c>
      <c r="U19" s="7" t="s">
        <v>158</v>
      </c>
      <c r="V19" s="343" t="s">
        <v>158</v>
      </c>
    </row>
    <row r="20" spans="1:22" x14ac:dyDescent="0.35">
      <c r="A20" s="7" t="s">
        <v>5</v>
      </c>
      <c r="B20" s="7" t="s">
        <v>157</v>
      </c>
      <c r="C20" s="343">
        <v>8</v>
      </c>
      <c r="D20" s="344">
        <v>46061</v>
      </c>
      <c r="E20" s="7">
        <v>3</v>
      </c>
      <c r="F20" s="7">
        <v>150</v>
      </c>
      <c r="G20" s="7">
        <v>450</v>
      </c>
      <c r="H20" s="7" t="s">
        <v>211</v>
      </c>
      <c r="I20" s="7" t="s">
        <v>212</v>
      </c>
      <c r="J20" s="7" t="s">
        <v>213</v>
      </c>
      <c r="K20" s="7" t="s">
        <v>214</v>
      </c>
      <c r="L20" s="7" t="s">
        <v>229</v>
      </c>
      <c r="M20" s="7" t="s">
        <v>158</v>
      </c>
      <c r="N20" s="7" t="s">
        <v>216</v>
      </c>
      <c r="O20" s="7" t="s">
        <v>214</v>
      </c>
      <c r="P20" s="7"/>
      <c r="Q20" s="7"/>
      <c r="R20" s="7" t="s">
        <v>243</v>
      </c>
      <c r="S20" s="7" t="s">
        <v>218</v>
      </c>
      <c r="T20" s="7" t="s">
        <v>214</v>
      </c>
      <c r="U20" s="7" t="s">
        <v>158</v>
      </c>
      <c r="V20" s="343" t="s">
        <v>158</v>
      </c>
    </row>
    <row r="21" spans="1:22" x14ac:dyDescent="0.35">
      <c r="A21" s="7" t="s">
        <v>5</v>
      </c>
      <c r="B21" s="7" t="s">
        <v>157</v>
      </c>
      <c r="C21" s="343">
        <v>8</v>
      </c>
      <c r="D21" s="344">
        <v>46061</v>
      </c>
      <c r="E21" s="7">
        <v>3</v>
      </c>
      <c r="F21" s="7">
        <v>150</v>
      </c>
      <c r="G21" s="7">
        <v>450</v>
      </c>
      <c r="H21" s="7" t="s">
        <v>211</v>
      </c>
      <c r="I21" s="7" t="s">
        <v>212</v>
      </c>
      <c r="J21" s="7" t="s">
        <v>213</v>
      </c>
      <c r="K21" s="7" t="s">
        <v>214</v>
      </c>
      <c r="L21" s="7" t="s">
        <v>229</v>
      </c>
      <c r="M21" s="7" t="s">
        <v>158</v>
      </c>
      <c r="N21" s="7" t="s">
        <v>216</v>
      </c>
      <c r="O21" s="7" t="s">
        <v>214</v>
      </c>
      <c r="P21" s="7"/>
      <c r="Q21" s="7"/>
      <c r="R21" s="7" t="s">
        <v>244</v>
      </c>
      <c r="S21" s="7" t="s">
        <v>218</v>
      </c>
      <c r="T21" s="7" t="s">
        <v>214</v>
      </c>
      <c r="U21" s="7" t="s">
        <v>158</v>
      </c>
      <c r="V21" s="343" t="s">
        <v>158</v>
      </c>
    </row>
    <row r="22" spans="1:22" x14ac:dyDescent="0.35">
      <c r="A22" s="7" t="s">
        <v>5</v>
      </c>
      <c r="B22" s="7" t="s">
        <v>157</v>
      </c>
      <c r="C22" s="343">
        <v>8</v>
      </c>
      <c r="D22" s="344">
        <v>46061</v>
      </c>
      <c r="E22" s="7">
        <v>3</v>
      </c>
      <c r="F22" s="7">
        <v>150</v>
      </c>
      <c r="G22" s="7">
        <v>450</v>
      </c>
      <c r="H22" s="7" t="s">
        <v>211</v>
      </c>
      <c r="I22" s="7" t="s">
        <v>212</v>
      </c>
      <c r="J22" s="7" t="s">
        <v>213</v>
      </c>
      <c r="K22" s="7" t="s">
        <v>214</v>
      </c>
      <c r="L22" s="7" t="s">
        <v>229</v>
      </c>
      <c r="M22" s="7" t="s">
        <v>158</v>
      </c>
      <c r="N22" s="7" t="s">
        <v>216</v>
      </c>
      <c r="O22" s="7" t="s">
        <v>214</v>
      </c>
      <c r="P22" s="7"/>
      <c r="Q22" s="7"/>
      <c r="R22" s="7" t="s">
        <v>245</v>
      </c>
      <c r="S22" s="7" t="s">
        <v>218</v>
      </c>
      <c r="T22" s="7" t="s">
        <v>214</v>
      </c>
      <c r="U22" s="7" t="s">
        <v>158</v>
      </c>
      <c r="V22" s="343" t="s">
        <v>158</v>
      </c>
    </row>
    <row r="23" spans="1:22" x14ac:dyDescent="0.35">
      <c r="A23" s="7" t="s">
        <v>5</v>
      </c>
      <c r="B23" s="7" t="s">
        <v>157</v>
      </c>
      <c r="C23" s="343">
        <v>8</v>
      </c>
      <c r="D23" s="344">
        <v>46061</v>
      </c>
      <c r="E23" s="7">
        <v>6</v>
      </c>
      <c r="F23" s="7">
        <v>150</v>
      </c>
      <c r="G23" s="7">
        <v>900</v>
      </c>
      <c r="H23" s="7" t="s">
        <v>211</v>
      </c>
      <c r="I23" s="7" t="s">
        <v>212</v>
      </c>
      <c r="J23" s="7" t="s">
        <v>213</v>
      </c>
      <c r="K23" s="7" t="s">
        <v>214</v>
      </c>
      <c r="L23" s="7" t="s">
        <v>229</v>
      </c>
      <c r="M23" s="7" t="s">
        <v>158</v>
      </c>
      <c r="N23" s="7" t="s">
        <v>216</v>
      </c>
      <c r="O23" s="7" t="s">
        <v>214</v>
      </c>
      <c r="P23" s="7"/>
      <c r="Q23" s="7"/>
      <c r="R23" s="7" t="s">
        <v>246</v>
      </c>
      <c r="S23" s="7" t="s">
        <v>218</v>
      </c>
      <c r="T23" s="7" t="s">
        <v>214</v>
      </c>
      <c r="U23" s="7" t="s">
        <v>158</v>
      </c>
      <c r="V23" s="343" t="s">
        <v>158</v>
      </c>
    </row>
    <row r="24" spans="1:22" x14ac:dyDescent="0.35">
      <c r="A24" s="7" t="s">
        <v>5</v>
      </c>
      <c r="B24" s="7" t="s">
        <v>157</v>
      </c>
      <c r="C24" s="343">
        <v>8</v>
      </c>
      <c r="D24" s="344">
        <v>46061</v>
      </c>
      <c r="E24" s="7">
        <v>5</v>
      </c>
      <c r="F24" s="7">
        <v>150</v>
      </c>
      <c r="G24" s="7">
        <v>750</v>
      </c>
      <c r="H24" s="7" t="s">
        <v>211</v>
      </c>
      <c r="I24" s="7" t="s">
        <v>212</v>
      </c>
      <c r="J24" s="7" t="s">
        <v>213</v>
      </c>
      <c r="K24" s="7" t="s">
        <v>214</v>
      </c>
      <c r="L24" s="7" t="s">
        <v>229</v>
      </c>
      <c r="M24" s="7" t="s">
        <v>158</v>
      </c>
      <c r="N24" s="7" t="s">
        <v>216</v>
      </c>
      <c r="O24" s="7" t="s">
        <v>214</v>
      </c>
      <c r="P24" s="7"/>
      <c r="Q24" s="7"/>
      <c r="R24" s="7" t="s">
        <v>247</v>
      </c>
      <c r="S24" s="7" t="s">
        <v>218</v>
      </c>
      <c r="T24" s="7" t="s">
        <v>214</v>
      </c>
      <c r="U24" s="7" t="s">
        <v>158</v>
      </c>
      <c r="V24" s="343" t="s">
        <v>158</v>
      </c>
    </row>
    <row r="25" spans="1:22" x14ac:dyDescent="0.35">
      <c r="A25" s="7" t="s">
        <v>5</v>
      </c>
      <c r="B25" s="7" t="s">
        <v>157</v>
      </c>
      <c r="C25" s="343">
        <v>8</v>
      </c>
      <c r="D25" s="344">
        <v>46061</v>
      </c>
      <c r="E25" s="7">
        <v>3</v>
      </c>
      <c r="F25" s="7">
        <v>150</v>
      </c>
      <c r="G25" s="7">
        <v>450</v>
      </c>
      <c r="H25" s="7" t="s">
        <v>211</v>
      </c>
      <c r="I25" s="7" t="s">
        <v>212</v>
      </c>
      <c r="J25" s="7" t="s">
        <v>213</v>
      </c>
      <c r="K25" s="7" t="s">
        <v>214</v>
      </c>
      <c r="L25" s="7" t="s">
        <v>229</v>
      </c>
      <c r="M25" s="7" t="s">
        <v>158</v>
      </c>
      <c r="N25" s="7" t="s">
        <v>216</v>
      </c>
      <c r="O25" s="7" t="s">
        <v>214</v>
      </c>
      <c r="P25" s="7"/>
      <c r="Q25" s="7"/>
      <c r="R25" s="7" t="s">
        <v>248</v>
      </c>
      <c r="S25" s="7" t="s">
        <v>218</v>
      </c>
      <c r="T25" s="7" t="s">
        <v>214</v>
      </c>
      <c r="U25" s="7" t="s">
        <v>158</v>
      </c>
      <c r="V25" s="343" t="s">
        <v>158</v>
      </c>
    </row>
    <row r="26" spans="1:22" x14ac:dyDescent="0.35">
      <c r="A26" s="7" t="s">
        <v>5</v>
      </c>
      <c r="B26" s="7" t="s">
        <v>157</v>
      </c>
      <c r="C26" s="343">
        <v>8</v>
      </c>
      <c r="D26" s="344">
        <v>46061</v>
      </c>
      <c r="E26" s="7">
        <v>3</v>
      </c>
      <c r="F26" s="7">
        <v>150</v>
      </c>
      <c r="G26" s="7">
        <v>450</v>
      </c>
      <c r="H26" s="7" t="s">
        <v>211</v>
      </c>
      <c r="I26" s="7" t="s">
        <v>212</v>
      </c>
      <c r="J26" s="7" t="s">
        <v>213</v>
      </c>
      <c r="K26" s="7" t="s">
        <v>214</v>
      </c>
      <c r="L26" s="7" t="s">
        <v>229</v>
      </c>
      <c r="M26" s="7" t="s">
        <v>158</v>
      </c>
      <c r="N26" s="7" t="s">
        <v>216</v>
      </c>
      <c r="O26" s="7" t="s">
        <v>214</v>
      </c>
      <c r="P26" s="7"/>
      <c r="Q26" s="7"/>
      <c r="R26" s="7" t="s">
        <v>249</v>
      </c>
      <c r="S26" s="7" t="s">
        <v>218</v>
      </c>
      <c r="T26" s="7" t="s">
        <v>214</v>
      </c>
      <c r="U26" s="7" t="s">
        <v>158</v>
      </c>
      <c r="V26" s="343" t="s">
        <v>158</v>
      </c>
    </row>
    <row r="27" spans="1:22" x14ac:dyDescent="0.35">
      <c r="A27" s="7" t="s">
        <v>5</v>
      </c>
      <c r="B27" s="7" t="s">
        <v>157</v>
      </c>
      <c r="C27" s="343">
        <v>8</v>
      </c>
      <c r="D27" s="344">
        <v>46075</v>
      </c>
      <c r="E27" s="7">
        <v>4</v>
      </c>
      <c r="F27" s="7">
        <v>150</v>
      </c>
      <c r="G27" s="7">
        <v>600</v>
      </c>
      <c r="H27" s="7" t="s">
        <v>211</v>
      </c>
      <c r="I27" s="7" t="s">
        <v>212</v>
      </c>
      <c r="J27" s="7" t="s">
        <v>213</v>
      </c>
      <c r="K27" s="7" t="s">
        <v>214</v>
      </c>
      <c r="L27" s="7" t="s">
        <v>229</v>
      </c>
      <c r="M27" s="7" t="s">
        <v>158</v>
      </c>
      <c r="N27" s="7" t="s">
        <v>216</v>
      </c>
      <c r="O27" s="7" t="s">
        <v>214</v>
      </c>
      <c r="P27" s="7"/>
      <c r="Q27" s="7"/>
      <c r="R27" s="7" t="s">
        <v>250</v>
      </c>
      <c r="S27" s="7" t="s">
        <v>218</v>
      </c>
      <c r="T27" s="7" t="s">
        <v>214</v>
      </c>
      <c r="U27" s="7" t="s">
        <v>158</v>
      </c>
      <c r="V27" s="343" t="s">
        <v>158</v>
      </c>
    </row>
    <row r="28" spans="1:22" x14ac:dyDescent="0.35">
      <c r="A28" s="7" t="s">
        <v>5</v>
      </c>
      <c r="B28" s="7" t="s">
        <v>157</v>
      </c>
      <c r="C28" s="343">
        <v>8</v>
      </c>
      <c r="D28" s="344">
        <v>46075</v>
      </c>
      <c r="E28" s="7">
        <v>4</v>
      </c>
      <c r="F28" s="7">
        <v>150</v>
      </c>
      <c r="G28" s="7">
        <v>600</v>
      </c>
      <c r="H28" s="7" t="s">
        <v>211</v>
      </c>
      <c r="I28" s="7" t="s">
        <v>212</v>
      </c>
      <c r="J28" s="7" t="s">
        <v>213</v>
      </c>
      <c r="K28" s="7" t="s">
        <v>214</v>
      </c>
      <c r="L28" s="7" t="s">
        <v>229</v>
      </c>
      <c r="M28" s="7" t="s">
        <v>158</v>
      </c>
      <c r="N28" s="7" t="s">
        <v>216</v>
      </c>
      <c r="O28" s="7" t="s">
        <v>214</v>
      </c>
      <c r="P28" s="7"/>
      <c r="Q28" s="7"/>
      <c r="R28" s="7" t="s">
        <v>251</v>
      </c>
      <c r="S28" s="7" t="s">
        <v>218</v>
      </c>
      <c r="T28" s="7" t="s">
        <v>214</v>
      </c>
      <c r="U28" s="7" t="s">
        <v>158</v>
      </c>
      <c r="V28" s="343" t="s">
        <v>158</v>
      </c>
    </row>
    <row r="29" spans="1:22" x14ac:dyDescent="0.35">
      <c r="A29" s="7" t="s">
        <v>5</v>
      </c>
      <c r="B29" s="7" t="s">
        <v>157</v>
      </c>
      <c r="C29" s="343">
        <v>8</v>
      </c>
      <c r="D29" s="344">
        <v>46075</v>
      </c>
      <c r="E29" s="7">
        <v>4</v>
      </c>
      <c r="F29" s="7">
        <v>150</v>
      </c>
      <c r="G29" s="7">
        <v>600</v>
      </c>
      <c r="H29" s="7" t="s">
        <v>211</v>
      </c>
      <c r="I29" s="7" t="s">
        <v>212</v>
      </c>
      <c r="J29" s="7" t="s">
        <v>213</v>
      </c>
      <c r="K29" s="7" t="s">
        <v>214</v>
      </c>
      <c r="L29" s="7" t="s">
        <v>229</v>
      </c>
      <c r="M29" s="7" t="s">
        <v>158</v>
      </c>
      <c r="N29" s="7" t="s">
        <v>216</v>
      </c>
      <c r="O29" s="7" t="s">
        <v>214</v>
      </c>
      <c r="P29" s="7"/>
      <c r="Q29" s="7"/>
      <c r="R29" s="7" t="s">
        <v>252</v>
      </c>
      <c r="S29" s="7" t="s">
        <v>218</v>
      </c>
      <c r="T29" s="7" t="s">
        <v>214</v>
      </c>
      <c r="U29" s="7" t="s">
        <v>158</v>
      </c>
      <c r="V29" s="343" t="s">
        <v>158</v>
      </c>
    </row>
    <row r="30" spans="1:22" x14ac:dyDescent="0.35">
      <c r="A30" s="7" t="s">
        <v>5</v>
      </c>
      <c r="B30" s="7" t="s">
        <v>157</v>
      </c>
      <c r="C30" s="343">
        <v>8</v>
      </c>
      <c r="D30" s="344">
        <v>46075</v>
      </c>
      <c r="E30" s="7">
        <v>2</v>
      </c>
      <c r="F30" s="7">
        <v>150</v>
      </c>
      <c r="G30" s="7">
        <v>300</v>
      </c>
      <c r="H30" s="7" t="s">
        <v>211</v>
      </c>
      <c r="I30" s="7" t="s">
        <v>212</v>
      </c>
      <c r="J30" s="7" t="s">
        <v>213</v>
      </c>
      <c r="K30" s="7" t="s">
        <v>214</v>
      </c>
      <c r="L30" s="7" t="s">
        <v>229</v>
      </c>
      <c r="M30" s="7" t="s">
        <v>158</v>
      </c>
      <c r="N30" s="7" t="s">
        <v>216</v>
      </c>
      <c r="O30" s="7" t="s">
        <v>214</v>
      </c>
      <c r="P30" s="7"/>
      <c r="Q30" s="7"/>
      <c r="R30" s="7" t="s">
        <v>253</v>
      </c>
      <c r="S30" s="7" t="s">
        <v>218</v>
      </c>
      <c r="T30" s="7" t="s">
        <v>214</v>
      </c>
      <c r="U30" s="7" t="s">
        <v>158</v>
      </c>
      <c r="V30" s="343" t="s">
        <v>158</v>
      </c>
    </row>
    <row r="31" spans="1:22" x14ac:dyDescent="0.35">
      <c r="A31" s="7" t="s">
        <v>5</v>
      </c>
      <c r="B31" s="7" t="s">
        <v>157</v>
      </c>
      <c r="C31" s="343">
        <v>8</v>
      </c>
      <c r="D31" s="344">
        <v>46075</v>
      </c>
      <c r="E31" s="7">
        <v>2</v>
      </c>
      <c r="F31" s="7">
        <v>150</v>
      </c>
      <c r="G31" s="7">
        <v>300</v>
      </c>
      <c r="H31" s="7" t="s">
        <v>211</v>
      </c>
      <c r="I31" s="7" t="s">
        <v>212</v>
      </c>
      <c r="J31" s="7" t="s">
        <v>213</v>
      </c>
      <c r="K31" s="7" t="s">
        <v>214</v>
      </c>
      <c r="L31" s="7" t="s">
        <v>229</v>
      </c>
      <c r="M31" s="7" t="s">
        <v>158</v>
      </c>
      <c r="N31" s="7" t="s">
        <v>216</v>
      </c>
      <c r="O31" s="7" t="s">
        <v>214</v>
      </c>
      <c r="P31" s="7"/>
      <c r="Q31" s="7"/>
      <c r="R31" s="7" t="s">
        <v>254</v>
      </c>
      <c r="S31" s="7" t="s">
        <v>218</v>
      </c>
      <c r="T31" s="7" t="s">
        <v>214</v>
      </c>
      <c r="U31" s="7" t="s">
        <v>158</v>
      </c>
      <c r="V31" s="343" t="s">
        <v>158</v>
      </c>
    </row>
    <row r="32" spans="1:22" x14ac:dyDescent="0.35">
      <c r="A32" s="7" t="s">
        <v>5</v>
      </c>
      <c r="B32" s="7" t="s">
        <v>157</v>
      </c>
      <c r="C32" s="343">
        <v>8</v>
      </c>
      <c r="D32" s="344">
        <v>46075</v>
      </c>
      <c r="E32" s="7">
        <v>2</v>
      </c>
      <c r="F32" s="7">
        <v>150</v>
      </c>
      <c r="G32" s="7">
        <v>300</v>
      </c>
      <c r="H32" s="7" t="s">
        <v>211</v>
      </c>
      <c r="I32" s="7" t="s">
        <v>212</v>
      </c>
      <c r="J32" s="7" t="s">
        <v>213</v>
      </c>
      <c r="K32" s="7" t="s">
        <v>214</v>
      </c>
      <c r="L32" s="7" t="s">
        <v>229</v>
      </c>
      <c r="M32" s="7" t="s">
        <v>158</v>
      </c>
      <c r="N32" s="7" t="s">
        <v>216</v>
      </c>
      <c r="O32" s="7" t="s">
        <v>214</v>
      </c>
      <c r="P32" s="7"/>
      <c r="Q32" s="7"/>
      <c r="R32" s="7" t="s">
        <v>255</v>
      </c>
      <c r="S32" s="7" t="s">
        <v>218</v>
      </c>
      <c r="T32" s="7" t="s">
        <v>214</v>
      </c>
      <c r="U32" s="7" t="s">
        <v>158</v>
      </c>
      <c r="V32" s="343" t="s">
        <v>158</v>
      </c>
    </row>
    <row r="33" spans="1:22" x14ac:dyDescent="0.35">
      <c r="A33" s="7" t="s">
        <v>5</v>
      </c>
      <c r="B33" s="7" t="s">
        <v>157</v>
      </c>
      <c r="C33" s="343">
        <v>8</v>
      </c>
      <c r="D33" s="344">
        <v>46075</v>
      </c>
      <c r="E33" s="7">
        <v>2</v>
      </c>
      <c r="F33" s="7">
        <v>150</v>
      </c>
      <c r="G33" s="7">
        <v>300</v>
      </c>
      <c r="H33" s="7" t="s">
        <v>211</v>
      </c>
      <c r="I33" s="7" t="s">
        <v>212</v>
      </c>
      <c r="J33" s="7" t="s">
        <v>213</v>
      </c>
      <c r="K33" s="7" t="s">
        <v>214</v>
      </c>
      <c r="L33" s="7" t="s">
        <v>229</v>
      </c>
      <c r="M33" s="7" t="s">
        <v>158</v>
      </c>
      <c r="N33" s="7" t="s">
        <v>216</v>
      </c>
      <c r="O33" s="7" t="s">
        <v>214</v>
      </c>
      <c r="P33" s="7"/>
      <c r="Q33" s="7"/>
      <c r="R33" s="7" t="s">
        <v>256</v>
      </c>
      <c r="S33" s="7" t="s">
        <v>218</v>
      </c>
      <c r="T33" s="7" t="s">
        <v>214</v>
      </c>
      <c r="U33" s="7" t="s">
        <v>158</v>
      </c>
      <c r="V33" s="343" t="s">
        <v>158</v>
      </c>
    </row>
    <row r="34" spans="1:22" x14ac:dyDescent="0.35">
      <c r="A34" s="7" t="s">
        <v>5</v>
      </c>
      <c r="B34" s="7" t="s">
        <v>157</v>
      </c>
      <c r="C34" s="343">
        <v>8</v>
      </c>
      <c r="D34" s="344">
        <v>46075</v>
      </c>
      <c r="E34" s="7">
        <v>2</v>
      </c>
      <c r="F34" s="7">
        <v>150</v>
      </c>
      <c r="G34" s="7">
        <v>300</v>
      </c>
      <c r="H34" s="7" t="s">
        <v>211</v>
      </c>
      <c r="I34" s="7" t="s">
        <v>212</v>
      </c>
      <c r="J34" s="7" t="s">
        <v>213</v>
      </c>
      <c r="K34" s="7" t="s">
        <v>214</v>
      </c>
      <c r="L34" s="7" t="s">
        <v>229</v>
      </c>
      <c r="M34" s="7" t="s">
        <v>158</v>
      </c>
      <c r="N34" s="7" t="s">
        <v>216</v>
      </c>
      <c r="O34" s="7" t="s">
        <v>214</v>
      </c>
      <c r="P34" s="7"/>
      <c r="Q34" s="7"/>
      <c r="R34" s="7" t="s">
        <v>257</v>
      </c>
      <c r="S34" s="7" t="s">
        <v>218</v>
      </c>
      <c r="T34" s="7" t="s">
        <v>214</v>
      </c>
      <c r="U34" s="7" t="s">
        <v>158</v>
      </c>
      <c r="V34" s="343" t="s">
        <v>158</v>
      </c>
    </row>
    <row r="35" spans="1:22" x14ac:dyDescent="0.35">
      <c r="A35" s="7" t="s">
        <v>5</v>
      </c>
      <c r="B35" s="7" t="s">
        <v>157</v>
      </c>
      <c r="C35" s="343">
        <v>8</v>
      </c>
      <c r="D35" s="344">
        <v>46075</v>
      </c>
      <c r="E35" s="7">
        <v>2</v>
      </c>
      <c r="F35" s="7">
        <v>150</v>
      </c>
      <c r="G35" s="7">
        <v>300</v>
      </c>
      <c r="H35" s="7" t="s">
        <v>211</v>
      </c>
      <c r="I35" s="7" t="s">
        <v>212</v>
      </c>
      <c r="J35" s="7" t="s">
        <v>213</v>
      </c>
      <c r="K35" s="7" t="s">
        <v>214</v>
      </c>
      <c r="L35" s="7" t="s">
        <v>229</v>
      </c>
      <c r="M35" s="7" t="s">
        <v>158</v>
      </c>
      <c r="N35" s="7" t="s">
        <v>216</v>
      </c>
      <c r="O35" s="7" t="s">
        <v>214</v>
      </c>
      <c r="P35" s="7"/>
      <c r="Q35" s="7"/>
      <c r="R35" s="7" t="s">
        <v>258</v>
      </c>
      <c r="S35" s="7" t="s">
        <v>218</v>
      </c>
      <c r="T35" s="7" t="s">
        <v>214</v>
      </c>
      <c r="U35" s="7" t="s">
        <v>158</v>
      </c>
      <c r="V35" s="343" t="s">
        <v>158</v>
      </c>
    </row>
    <row r="36" spans="1:22" x14ac:dyDescent="0.35">
      <c r="A36" s="7" t="s">
        <v>5</v>
      </c>
      <c r="B36" s="7" t="s">
        <v>157</v>
      </c>
      <c r="C36" s="343">
        <v>8</v>
      </c>
      <c r="D36" s="344">
        <v>46075</v>
      </c>
      <c r="E36" s="7">
        <v>4</v>
      </c>
      <c r="F36" s="7">
        <v>150</v>
      </c>
      <c r="G36" s="7">
        <v>600</v>
      </c>
      <c r="H36" s="7" t="s">
        <v>211</v>
      </c>
      <c r="I36" s="7" t="s">
        <v>212</v>
      </c>
      <c r="J36" s="7" t="s">
        <v>213</v>
      </c>
      <c r="K36" s="7" t="s">
        <v>214</v>
      </c>
      <c r="L36" s="7" t="s">
        <v>229</v>
      </c>
      <c r="M36" s="7" t="s">
        <v>158</v>
      </c>
      <c r="N36" s="7" t="s">
        <v>216</v>
      </c>
      <c r="O36" s="7" t="s">
        <v>214</v>
      </c>
      <c r="P36" s="7"/>
      <c r="Q36" s="7"/>
      <c r="R36" s="7" t="s">
        <v>259</v>
      </c>
      <c r="S36" s="7" t="s">
        <v>218</v>
      </c>
      <c r="T36" s="7" t="s">
        <v>214</v>
      </c>
      <c r="U36" s="7" t="s">
        <v>158</v>
      </c>
      <c r="V36" s="343" t="s">
        <v>158</v>
      </c>
    </row>
    <row r="37" spans="1:22" x14ac:dyDescent="0.35">
      <c r="A37" s="7" t="s">
        <v>5</v>
      </c>
      <c r="B37" s="7" t="s">
        <v>161</v>
      </c>
      <c r="C37" s="343">
        <v>8</v>
      </c>
      <c r="D37" s="344">
        <v>46061</v>
      </c>
      <c r="E37" s="7">
        <v>1</v>
      </c>
      <c r="F37" s="7">
        <v>155</v>
      </c>
      <c r="G37" s="7">
        <v>155</v>
      </c>
      <c r="H37" s="7" t="s">
        <v>211</v>
      </c>
      <c r="I37" s="7" t="s">
        <v>212</v>
      </c>
      <c r="J37" s="7" t="s">
        <v>213</v>
      </c>
      <c r="K37" s="7" t="s">
        <v>214</v>
      </c>
      <c r="L37" s="7" t="s">
        <v>225</v>
      </c>
      <c r="M37" s="7" t="s">
        <v>162</v>
      </c>
      <c r="N37" s="7" t="s">
        <v>216</v>
      </c>
      <c r="O37" s="7" t="s">
        <v>214</v>
      </c>
      <c r="P37" s="7"/>
      <c r="Q37" s="7"/>
      <c r="R37" s="7" t="s">
        <v>260</v>
      </c>
      <c r="S37" s="7" t="s">
        <v>218</v>
      </c>
      <c r="T37" s="7" t="s">
        <v>214</v>
      </c>
      <c r="U37" s="7" t="s">
        <v>162</v>
      </c>
      <c r="V37" s="343" t="s">
        <v>162</v>
      </c>
    </row>
    <row r="38" spans="1:22" x14ac:dyDescent="0.35">
      <c r="A38" s="7" t="s">
        <v>5</v>
      </c>
      <c r="B38" s="7" t="s">
        <v>161</v>
      </c>
      <c r="C38" s="343">
        <v>8</v>
      </c>
      <c r="D38" s="344">
        <v>46075</v>
      </c>
      <c r="E38" s="7">
        <v>1</v>
      </c>
      <c r="F38" s="7">
        <v>150</v>
      </c>
      <c r="G38" s="7">
        <v>150</v>
      </c>
      <c r="H38" s="7" t="s">
        <v>211</v>
      </c>
      <c r="I38" s="7" t="s">
        <v>212</v>
      </c>
      <c r="J38" s="7" t="s">
        <v>213</v>
      </c>
      <c r="K38" s="7" t="s">
        <v>214</v>
      </c>
      <c r="L38" s="7" t="s">
        <v>232</v>
      </c>
      <c r="M38" s="7" t="s">
        <v>163</v>
      </c>
      <c r="N38" s="7" t="s">
        <v>216</v>
      </c>
      <c r="O38" s="7" t="s">
        <v>214</v>
      </c>
      <c r="P38" s="7"/>
      <c r="Q38" s="7"/>
      <c r="R38" s="7" t="s">
        <v>261</v>
      </c>
      <c r="S38" s="7" t="s">
        <v>218</v>
      </c>
      <c r="T38" s="7" t="s">
        <v>214</v>
      </c>
      <c r="U38" s="7" t="s">
        <v>163</v>
      </c>
      <c r="V38" s="343" t="s">
        <v>163</v>
      </c>
    </row>
    <row r="39" spans="1:22" x14ac:dyDescent="0.35">
      <c r="A39" s="7" t="s">
        <v>5</v>
      </c>
      <c r="B39" s="7" t="s">
        <v>161</v>
      </c>
      <c r="C39" s="343">
        <v>8</v>
      </c>
      <c r="D39" s="344">
        <v>46075</v>
      </c>
      <c r="E39" s="7">
        <v>1</v>
      </c>
      <c r="F39" s="7">
        <v>155</v>
      </c>
      <c r="G39" s="7">
        <v>155</v>
      </c>
      <c r="H39" s="7" t="s">
        <v>211</v>
      </c>
      <c r="I39" s="7" t="s">
        <v>212</v>
      </c>
      <c r="J39" s="7" t="s">
        <v>213</v>
      </c>
      <c r="K39" s="7" t="s">
        <v>214</v>
      </c>
      <c r="L39" s="7" t="s">
        <v>225</v>
      </c>
      <c r="M39" s="7" t="s">
        <v>162</v>
      </c>
      <c r="N39" s="7" t="s">
        <v>216</v>
      </c>
      <c r="O39" s="7" t="s">
        <v>214</v>
      </c>
      <c r="P39" s="7"/>
      <c r="Q39" s="7"/>
      <c r="R39" s="7" t="s">
        <v>262</v>
      </c>
      <c r="S39" s="7" t="s">
        <v>218</v>
      </c>
      <c r="T39" s="7" t="s">
        <v>214</v>
      </c>
      <c r="U39" s="7" t="s">
        <v>162</v>
      </c>
      <c r="V39" s="343" t="s">
        <v>162</v>
      </c>
    </row>
    <row r="40" spans="1:22" x14ac:dyDescent="0.35">
      <c r="A40" s="7" t="s">
        <v>5</v>
      </c>
      <c r="B40" s="7" t="s">
        <v>161</v>
      </c>
      <c r="C40" s="343">
        <v>8</v>
      </c>
      <c r="D40" s="344">
        <v>46075</v>
      </c>
      <c r="E40" s="7">
        <v>1</v>
      </c>
      <c r="F40" s="7">
        <v>155</v>
      </c>
      <c r="G40" s="7">
        <v>155</v>
      </c>
      <c r="H40" s="7" t="s">
        <v>211</v>
      </c>
      <c r="I40" s="7" t="s">
        <v>212</v>
      </c>
      <c r="J40" s="7" t="s">
        <v>213</v>
      </c>
      <c r="K40" s="7" t="s">
        <v>214</v>
      </c>
      <c r="L40" s="7" t="s">
        <v>225</v>
      </c>
      <c r="M40" s="7" t="s">
        <v>162</v>
      </c>
      <c r="N40" s="7" t="s">
        <v>216</v>
      </c>
      <c r="O40" s="7" t="s">
        <v>214</v>
      </c>
      <c r="P40" s="7"/>
      <c r="Q40" s="7"/>
      <c r="R40" s="7" t="s">
        <v>263</v>
      </c>
      <c r="S40" s="7" t="s">
        <v>218</v>
      </c>
      <c r="T40" s="7" t="s">
        <v>214</v>
      </c>
      <c r="U40" s="7" t="s">
        <v>162</v>
      </c>
      <c r="V40" s="343" t="s">
        <v>162</v>
      </c>
    </row>
    <row r="41" spans="1:22" x14ac:dyDescent="0.35">
      <c r="A41" s="7" t="s">
        <v>5</v>
      </c>
      <c r="B41" s="7" t="s">
        <v>161</v>
      </c>
      <c r="C41" s="343">
        <v>8</v>
      </c>
      <c r="D41" s="344">
        <v>46075</v>
      </c>
      <c r="E41" s="7">
        <v>1</v>
      </c>
      <c r="F41" s="7">
        <v>155</v>
      </c>
      <c r="G41" s="7">
        <v>155</v>
      </c>
      <c r="H41" s="7" t="s">
        <v>211</v>
      </c>
      <c r="I41" s="7" t="s">
        <v>212</v>
      </c>
      <c r="J41" s="7" t="s">
        <v>213</v>
      </c>
      <c r="K41" s="7" t="s">
        <v>214</v>
      </c>
      <c r="L41" s="7" t="s">
        <v>225</v>
      </c>
      <c r="M41" s="7" t="s">
        <v>162</v>
      </c>
      <c r="N41" s="7" t="s">
        <v>216</v>
      </c>
      <c r="O41" s="7" t="s">
        <v>214</v>
      </c>
      <c r="P41" s="7"/>
      <c r="Q41" s="7"/>
      <c r="R41" s="7" t="s">
        <v>264</v>
      </c>
      <c r="S41" s="7" t="s">
        <v>218</v>
      </c>
      <c r="T41" s="7" t="s">
        <v>214</v>
      </c>
      <c r="U41" s="7" t="s">
        <v>162</v>
      </c>
      <c r="V41" s="343" t="s">
        <v>162</v>
      </c>
    </row>
    <row r="42" spans="1:22" x14ac:dyDescent="0.35">
      <c r="A42" s="7" t="s">
        <v>5</v>
      </c>
      <c r="B42" s="7" t="s">
        <v>161</v>
      </c>
      <c r="C42" s="343">
        <v>8</v>
      </c>
      <c r="D42" s="344">
        <v>46075</v>
      </c>
      <c r="E42" s="7">
        <v>1</v>
      </c>
      <c r="F42" s="7">
        <v>155</v>
      </c>
      <c r="G42" s="7">
        <v>155</v>
      </c>
      <c r="H42" s="7" t="s">
        <v>211</v>
      </c>
      <c r="I42" s="7" t="s">
        <v>212</v>
      </c>
      <c r="J42" s="7" t="s">
        <v>213</v>
      </c>
      <c r="K42" s="7" t="s">
        <v>214</v>
      </c>
      <c r="L42" s="7" t="s">
        <v>225</v>
      </c>
      <c r="M42" s="7" t="s">
        <v>162</v>
      </c>
      <c r="N42" s="7" t="s">
        <v>216</v>
      </c>
      <c r="O42" s="7" t="s">
        <v>214</v>
      </c>
      <c r="P42" s="7"/>
      <c r="Q42" s="7"/>
      <c r="R42" s="7" t="s">
        <v>265</v>
      </c>
      <c r="S42" s="7" t="s">
        <v>218</v>
      </c>
      <c r="T42" s="7" t="s">
        <v>214</v>
      </c>
      <c r="U42" s="7" t="s">
        <v>162</v>
      </c>
      <c r="V42" s="343" t="s">
        <v>162</v>
      </c>
    </row>
    <row r="43" spans="1:22" x14ac:dyDescent="0.35">
      <c r="A43" s="7" t="s">
        <v>28</v>
      </c>
      <c r="B43" s="7" t="s">
        <v>157</v>
      </c>
      <c r="C43" s="343">
        <v>9</v>
      </c>
      <c r="D43" s="344">
        <v>46081</v>
      </c>
      <c r="E43" s="7">
        <v>1</v>
      </c>
      <c r="F43" s="7">
        <v>0</v>
      </c>
      <c r="G43" s="7">
        <v>280</v>
      </c>
      <c r="H43" s="7" t="s">
        <v>211</v>
      </c>
      <c r="I43" s="7" t="s">
        <v>219</v>
      </c>
      <c r="J43" s="7" t="s">
        <v>213</v>
      </c>
      <c r="K43" s="7" t="s">
        <v>214</v>
      </c>
      <c r="L43" s="7" t="s">
        <v>220</v>
      </c>
      <c r="M43" s="7" t="s">
        <v>221</v>
      </c>
      <c r="N43" s="7" t="s">
        <v>222</v>
      </c>
      <c r="O43" s="7" t="s">
        <v>214</v>
      </c>
      <c r="P43" s="7"/>
      <c r="Q43" s="7"/>
      <c r="R43" s="7" t="s">
        <v>223</v>
      </c>
      <c r="S43" s="7" t="s">
        <v>266</v>
      </c>
      <c r="T43" s="7" t="s">
        <v>160</v>
      </c>
      <c r="U43" s="7"/>
      <c r="V43" s="343" t="s">
        <v>160</v>
      </c>
    </row>
    <row r="44" spans="1:22" x14ac:dyDescent="0.35">
      <c r="A44" s="7" t="s">
        <v>28</v>
      </c>
      <c r="B44" s="7" t="s">
        <v>157</v>
      </c>
      <c r="C44" s="343">
        <v>9</v>
      </c>
      <c r="D44" s="344">
        <v>46089</v>
      </c>
      <c r="E44" s="7">
        <v>2</v>
      </c>
      <c r="F44" s="7">
        <v>150</v>
      </c>
      <c r="G44" s="7">
        <v>300</v>
      </c>
      <c r="H44" s="7" t="s">
        <v>211</v>
      </c>
      <c r="I44" s="7" t="s">
        <v>212</v>
      </c>
      <c r="J44" s="7" t="s">
        <v>213</v>
      </c>
      <c r="K44" s="7" t="s">
        <v>214</v>
      </c>
      <c r="L44" s="7" t="s">
        <v>229</v>
      </c>
      <c r="M44" s="7" t="s">
        <v>158</v>
      </c>
      <c r="N44" s="7" t="s">
        <v>216</v>
      </c>
      <c r="O44" s="7" t="s">
        <v>214</v>
      </c>
      <c r="P44" s="7"/>
      <c r="Q44" s="7"/>
      <c r="R44" s="7" t="s">
        <v>267</v>
      </c>
      <c r="S44" s="7" t="s">
        <v>218</v>
      </c>
      <c r="T44" s="7" t="s">
        <v>214</v>
      </c>
      <c r="U44" s="7" t="s">
        <v>158</v>
      </c>
      <c r="V44" s="343" t="s">
        <v>158</v>
      </c>
    </row>
    <row r="45" spans="1:22" x14ac:dyDescent="0.35">
      <c r="A45" s="7" t="s">
        <v>28</v>
      </c>
      <c r="B45" s="7" t="s">
        <v>157</v>
      </c>
      <c r="C45" s="343">
        <v>9</v>
      </c>
      <c r="D45" s="344">
        <v>46089</v>
      </c>
      <c r="E45" s="7">
        <v>2</v>
      </c>
      <c r="F45" s="7">
        <v>150</v>
      </c>
      <c r="G45" s="7">
        <v>300</v>
      </c>
      <c r="H45" s="7" t="s">
        <v>211</v>
      </c>
      <c r="I45" s="7" t="s">
        <v>212</v>
      </c>
      <c r="J45" s="7" t="s">
        <v>213</v>
      </c>
      <c r="K45" s="7" t="s">
        <v>214</v>
      </c>
      <c r="L45" s="7" t="s">
        <v>229</v>
      </c>
      <c r="M45" s="7" t="s">
        <v>158</v>
      </c>
      <c r="N45" s="7" t="s">
        <v>216</v>
      </c>
      <c r="O45" s="7" t="s">
        <v>214</v>
      </c>
      <c r="P45" s="7"/>
      <c r="Q45" s="7"/>
      <c r="R45" s="7" t="s">
        <v>268</v>
      </c>
      <c r="S45" s="7" t="s">
        <v>218</v>
      </c>
      <c r="T45" s="7" t="s">
        <v>214</v>
      </c>
      <c r="U45" s="7" t="s">
        <v>158</v>
      </c>
      <c r="V45" s="343" t="s">
        <v>158</v>
      </c>
    </row>
    <row r="46" spans="1:22" x14ac:dyDescent="0.35">
      <c r="A46" s="7" t="s">
        <v>28</v>
      </c>
      <c r="B46" s="7" t="s">
        <v>157</v>
      </c>
      <c r="C46" s="343">
        <v>9</v>
      </c>
      <c r="D46" s="344">
        <v>46089</v>
      </c>
      <c r="E46" s="7">
        <v>2</v>
      </c>
      <c r="F46" s="7">
        <v>150</v>
      </c>
      <c r="G46" s="7">
        <v>300</v>
      </c>
      <c r="H46" s="7" t="s">
        <v>211</v>
      </c>
      <c r="I46" s="7" t="s">
        <v>212</v>
      </c>
      <c r="J46" s="7" t="s">
        <v>213</v>
      </c>
      <c r="K46" s="7" t="s">
        <v>214</v>
      </c>
      <c r="L46" s="7" t="s">
        <v>229</v>
      </c>
      <c r="M46" s="7" t="s">
        <v>158</v>
      </c>
      <c r="N46" s="7" t="s">
        <v>216</v>
      </c>
      <c r="O46" s="7" t="s">
        <v>214</v>
      </c>
      <c r="P46" s="7"/>
      <c r="Q46" s="7"/>
      <c r="R46" s="7" t="s">
        <v>269</v>
      </c>
      <c r="S46" s="7" t="s">
        <v>218</v>
      </c>
      <c r="T46" s="7" t="s">
        <v>214</v>
      </c>
      <c r="U46" s="7" t="s">
        <v>158</v>
      </c>
      <c r="V46" s="343" t="s">
        <v>158</v>
      </c>
    </row>
    <row r="47" spans="1:22" x14ac:dyDescent="0.35">
      <c r="A47" s="7" t="s">
        <v>28</v>
      </c>
      <c r="B47" s="7" t="s">
        <v>157</v>
      </c>
      <c r="C47" s="343">
        <v>9</v>
      </c>
      <c r="D47" s="344">
        <v>46089</v>
      </c>
      <c r="E47" s="7">
        <v>2</v>
      </c>
      <c r="F47" s="7">
        <v>150</v>
      </c>
      <c r="G47" s="7">
        <v>300</v>
      </c>
      <c r="H47" s="7" t="s">
        <v>211</v>
      </c>
      <c r="I47" s="7" t="s">
        <v>212</v>
      </c>
      <c r="J47" s="7" t="s">
        <v>213</v>
      </c>
      <c r="K47" s="7" t="s">
        <v>214</v>
      </c>
      <c r="L47" s="7" t="s">
        <v>229</v>
      </c>
      <c r="M47" s="7" t="s">
        <v>158</v>
      </c>
      <c r="N47" s="7" t="s">
        <v>216</v>
      </c>
      <c r="O47" s="7" t="s">
        <v>214</v>
      </c>
      <c r="P47" s="7"/>
      <c r="Q47" s="7"/>
      <c r="R47" s="7" t="s">
        <v>270</v>
      </c>
      <c r="S47" s="7" t="s">
        <v>218</v>
      </c>
      <c r="T47" s="7" t="s">
        <v>214</v>
      </c>
      <c r="U47" s="7" t="s">
        <v>158</v>
      </c>
      <c r="V47" s="343" t="s">
        <v>158</v>
      </c>
    </row>
    <row r="48" spans="1:22" x14ac:dyDescent="0.35">
      <c r="A48" s="7" t="s">
        <v>28</v>
      </c>
      <c r="B48" s="7" t="s">
        <v>157</v>
      </c>
      <c r="C48" s="343">
        <v>9</v>
      </c>
      <c r="D48" s="344">
        <v>46089</v>
      </c>
      <c r="E48" s="7">
        <v>2</v>
      </c>
      <c r="F48" s="7">
        <v>150</v>
      </c>
      <c r="G48" s="7">
        <v>300</v>
      </c>
      <c r="H48" s="7" t="s">
        <v>211</v>
      </c>
      <c r="I48" s="7" t="s">
        <v>212</v>
      </c>
      <c r="J48" s="7" t="s">
        <v>213</v>
      </c>
      <c r="K48" s="7" t="s">
        <v>214</v>
      </c>
      <c r="L48" s="7" t="s">
        <v>229</v>
      </c>
      <c r="M48" s="7" t="s">
        <v>158</v>
      </c>
      <c r="N48" s="7" t="s">
        <v>216</v>
      </c>
      <c r="O48" s="7" t="s">
        <v>214</v>
      </c>
      <c r="P48" s="7"/>
      <c r="Q48" s="7"/>
      <c r="R48" s="7" t="s">
        <v>271</v>
      </c>
      <c r="S48" s="7" t="s">
        <v>218</v>
      </c>
      <c r="T48" s="7" t="s">
        <v>214</v>
      </c>
      <c r="U48" s="7" t="s">
        <v>158</v>
      </c>
      <c r="V48" s="343" t="s">
        <v>158</v>
      </c>
    </row>
    <row r="49" spans="1:22" x14ac:dyDescent="0.35">
      <c r="A49" s="7" t="s">
        <v>28</v>
      </c>
      <c r="B49" s="7" t="s">
        <v>157</v>
      </c>
      <c r="C49" s="343">
        <v>9</v>
      </c>
      <c r="D49" s="344">
        <v>46089</v>
      </c>
      <c r="E49" s="7">
        <v>2</v>
      </c>
      <c r="F49" s="7">
        <v>150</v>
      </c>
      <c r="G49" s="7">
        <v>300</v>
      </c>
      <c r="H49" s="7" t="s">
        <v>211</v>
      </c>
      <c r="I49" s="7" t="s">
        <v>212</v>
      </c>
      <c r="J49" s="7" t="s">
        <v>213</v>
      </c>
      <c r="K49" s="7" t="s">
        <v>214</v>
      </c>
      <c r="L49" s="7" t="s">
        <v>229</v>
      </c>
      <c r="M49" s="7" t="s">
        <v>158</v>
      </c>
      <c r="N49" s="7" t="s">
        <v>216</v>
      </c>
      <c r="O49" s="7" t="s">
        <v>214</v>
      </c>
      <c r="P49" s="7"/>
      <c r="Q49" s="7"/>
      <c r="R49" s="7" t="s">
        <v>272</v>
      </c>
      <c r="S49" s="7" t="s">
        <v>218</v>
      </c>
      <c r="T49" s="7" t="s">
        <v>214</v>
      </c>
      <c r="U49" s="7" t="s">
        <v>158</v>
      </c>
      <c r="V49" s="343" t="s">
        <v>158</v>
      </c>
    </row>
    <row r="50" spans="1:22" x14ac:dyDescent="0.35">
      <c r="A50" s="7" t="s">
        <v>28</v>
      </c>
      <c r="B50" s="7" t="s">
        <v>157</v>
      </c>
      <c r="C50" s="343">
        <v>9</v>
      </c>
      <c r="D50" s="344">
        <v>46089</v>
      </c>
      <c r="E50" s="7">
        <v>2</v>
      </c>
      <c r="F50" s="7">
        <v>150</v>
      </c>
      <c r="G50" s="7">
        <v>300</v>
      </c>
      <c r="H50" s="7" t="s">
        <v>211</v>
      </c>
      <c r="I50" s="7" t="s">
        <v>212</v>
      </c>
      <c r="J50" s="7" t="s">
        <v>213</v>
      </c>
      <c r="K50" s="7" t="s">
        <v>214</v>
      </c>
      <c r="L50" s="7" t="s">
        <v>229</v>
      </c>
      <c r="M50" s="7" t="s">
        <v>158</v>
      </c>
      <c r="N50" s="7" t="s">
        <v>216</v>
      </c>
      <c r="O50" s="7" t="s">
        <v>214</v>
      </c>
      <c r="P50" s="7"/>
      <c r="Q50" s="7"/>
      <c r="R50" s="7" t="s">
        <v>273</v>
      </c>
      <c r="S50" s="7" t="s">
        <v>218</v>
      </c>
      <c r="T50" s="7" t="s">
        <v>214</v>
      </c>
      <c r="U50" s="7" t="s">
        <v>158</v>
      </c>
      <c r="V50" s="343" t="s">
        <v>158</v>
      </c>
    </row>
    <row r="51" spans="1:22" x14ac:dyDescent="0.35">
      <c r="A51" s="7" t="s">
        <v>28</v>
      </c>
      <c r="B51" s="7" t="s">
        <v>157</v>
      </c>
      <c r="C51" s="343">
        <v>9</v>
      </c>
      <c r="D51" s="344">
        <v>46089</v>
      </c>
      <c r="E51" s="7">
        <v>2</v>
      </c>
      <c r="F51" s="7">
        <v>150</v>
      </c>
      <c r="G51" s="7">
        <v>300</v>
      </c>
      <c r="H51" s="7" t="s">
        <v>211</v>
      </c>
      <c r="I51" s="7" t="s">
        <v>212</v>
      </c>
      <c r="J51" s="7" t="s">
        <v>213</v>
      </c>
      <c r="K51" s="7" t="s">
        <v>214</v>
      </c>
      <c r="L51" s="7" t="s">
        <v>229</v>
      </c>
      <c r="M51" s="7" t="s">
        <v>158</v>
      </c>
      <c r="N51" s="7" t="s">
        <v>216</v>
      </c>
      <c r="O51" s="7" t="s">
        <v>214</v>
      </c>
      <c r="P51" s="7"/>
      <c r="Q51" s="7"/>
      <c r="R51" s="7" t="s">
        <v>274</v>
      </c>
      <c r="S51" s="7" t="s">
        <v>218</v>
      </c>
      <c r="T51" s="7" t="s">
        <v>214</v>
      </c>
      <c r="U51" s="7" t="s">
        <v>158</v>
      </c>
      <c r="V51" s="343" t="s">
        <v>158</v>
      </c>
    </row>
    <row r="52" spans="1:22" x14ac:dyDescent="0.35">
      <c r="A52" s="7" t="s">
        <v>28</v>
      </c>
      <c r="B52" s="7" t="s">
        <v>157</v>
      </c>
      <c r="C52" s="343">
        <v>9</v>
      </c>
      <c r="D52" s="344">
        <v>46089</v>
      </c>
      <c r="E52" s="7">
        <v>2</v>
      </c>
      <c r="F52" s="7">
        <v>150</v>
      </c>
      <c r="G52" s="7">
        <v>300</v>
      </c>
      <c r="H52" s="7" t="s">
        <v>211</v>
      </c>
      <c r="I52" s="7" t="s">
        <v>212</v>
      </c>
      <c r="J52" s="7" t="s">
        <v>213</v>
      </c>
      <c r="K52" s="7" t="s">
        <v>214</v>
      </c>
      <c r="L52" s="7" t="s">
        <v>229</v>
      </c>
      <c r="M52" s="7" t="s">
        <v>158</v>
      </c>
      <c r="N52" s="7" t="s">
        <v>216</v>
      </c>
      <c r="O52" s="7" t="s">
        <v>214</v>
      </c>
      <c r="P52" s="7"/>
      <c r="Q52" s="7"/>
      <c r="R52" s="7" t="s">
        <v>275</v>
      </c>
      <c r="S52" s="7" t="s">
        <v>218</v>
      </c>
      <c r="T52" s="7" t="s">
        <v>214</v>
      </c>
      <c r="U52" s="7" t="s">
        <v>158</v>
      </c>
      <c r="V52" s="343" t="s">
        <v>158</v>
      </c>
    </row>
    <row r="53" spans="1:22" x14ac:dyDescent="0.35">
      <c r="A53" s="7" t="s">
        <v>28</v>
      </c>
      <c r="B53" s="7" t="s">
        <v>157</v>
      </c>
      <c r="C53" s="343">
        <v>9</v>
      </c>
      <c r="D53" s="344">
        <v>46089</v>
      </c>
      <c r="E53" s="7">
        <v>2</v>
      </c>
      <c r="F53" s="7">
        <v>150</v>
      </c>
      <c r="G53" s="7">
        <v>300</v>
      </c>
      <c r="H53" s="7" t="s">
        <v>211</v>
      </c>
      <c r="I53" s="7" t="s">
        <v>212</v>
      </c>
      <c r="J53" s="7" t="s">
        <v>213</v>
      </c>
      <c r="K53" s="7" t="s">
        <v>214</v>
      </c>
      <c r="L53" s="7" t="s">
        <v>229</v>
      </c>
      <c r="M53" s="7" t="s">
        <v>158</v>
      </c>
      <c r="N53" s="7" t="s">
        <v>216</v>
      </c>
      <c r="O53" s="7" t="s">
        <v>214</v>
      </c>
      <c r="P53" s="7"/>
      <c r="Q53" s="7"/>
      <c r="R53" s="7" t="s">
        <v>276</v>
      </c>
      <c r="S53" s="7" t="s">
        <v>218</v>
      </c>
      <c r="T53" s="7" t="s">
        <v>214</v>
      </c>
      <c r="U53" s="7" t="s">
        <v>158</v>
      </c>
      <c r="V53" s="343" t="s">
        <v>158</v>
      </c>
    </row>
    <row r="54" spans="1:22" x14ac:dyDescent="0.35">
      <c r="A54" s="7" t="s">
        <v>28</v>
      </c>
      <c r="B54" s="7" t="s">
        <v>157</v>
      </c>
      <c r="C54" s="343">
        <v>9</v>
      </c>
      <c r="D54" s="344">
        <v>46103</v>
      </c>
      <c r="E54" s="7">
        <v>2</v>
      </c>
      <c r="F54" s="7">
        <v>150</v>
      </c>
      <c r="G54" s="7">
        <v>300</v>
      </c>
      <c r="H54" s="7" t="s">
        <v>211</v>
      </c>
      <c r="I54" s="7" t="s">
        <v>212</v>
      </c>
      <c r="J54" s="7" t="s">
        <v>213</v>
      </c>
      <c r="K54" s="7" t="s">
        <v>214</v>
      </c>
      <c r="L54" s="7" t="s">
        <v>229</v>
      </c>
      <c r="M54" s="7" t="s">
        <v>158</v>
      </c>
      <c r="N54" s="7" t="s">
        <v>216</v>
      </c>
      <c r="O54" s="7" t="s">
        <v>214</v>
      </c>
      <c r="P54" s="7"/>
      <c r="Q54" s="7"/>
      <c r="R54" s="7" t="s">
        <v>277</v>
      </c>
      <c r="S54" s="7" t="s">
        <v>218</v>
      </c>
      <c r="T54" s="7" t="s">
        <v>214</v>
      </c>
      <c r="U54" s="7" t="s">
        <v>158</v>
      </c>
      <c r="V54" s="343" t="s">
        <v>158</v>
      </c>
    </row>
    <row r="55" spans="1:22" x14ac:dyDescent="0.35">
      <c r="A55" s="7" t="s">
        <v>28</v>
      </c>
      <c r="B55" s="7" t="s">
        <v>157</v>
      </c>
      <c r="C55" s="343">
        <v>9</v>
      </c>
      <c r="D55" s="344">
        <v>46103</v>
      </c>
      <c r="E55" s="7">
        <v>2</v>
      </c>
      <c r="F55" s="7">
        <v>150</v>
      </c>
      <c r="G55" s="7">
        <v>300</v>
      </c>
      <c r="H55" s="7" t="s">
        <v>211</v>
      </c>
      <c r="I55" s="7" t="s">
        <v>212</v>
      </c>
      <c r="J55" s="7" t="s">
        <v>213</v>
      </c>
      <c r="K55" s="7" t="s">
        <v>214</v>
      </c>
      <c r="L55" s="7" t="s">
        <v>229</v>
      </c>
      <c r="M55" s="7" t="s">
        <v>158</v>
      </c>
      <c r="N55" s="7" t="s">
        <v>216</v>
      </c>
      <c r="O55" s="7" t="s">
        <v>214</v>
      </c>
      <c r="P55" s="7"/>
      <c r="Q55" s="7"/>
      <c r="R55" s="7" t="s">
        <v>278</v>
      </c>
      <c r="S55" s="7" t="s">
        <v>218</v>
      </c>
      <c r="T55" s="7" t="s">
        <v>214</v>
      </c>
      <c r="U55" s="7" t="s">
        <v>158</v>
      </c>
      <c r="V55" s="343" t="s">
        <v>158</v>
      </c>
    </row>
    <row r="56" spans="1:22" x14ac:dyDescent="0.35">
      <c r="A56" s="7" t="s">
        <v>28</v>
      </c>
      <c r="B56" s="7" t="s">
        <v>157</v>
      </c>
      <c r="C56" s="343">
        <v>9</v>
      </c>
      <c r="D56" s="344">
        <v>46103</v>
      </c>
      <c r="E56" s="7">
        <v>2</v>
      </c>
      <c r="F56" s="7">
        <v>150</v>
      </c>
      <c r="G56" s="7">
        <v>300</v>
      </c>
      <c r="H56" s="7" t="s">
        <v>211</v>
      </c>
      <c r="I56" s="7" t="s">
        <v>212</v>
      </c>
      <c r="J56" s="7" t="s">
        <v>213</v>
      </c>
      <c r="K56" s="7" t="s">
        <v>214</v>
      </c>
      <c r="L56" s="7" t="s">
        <v>229</v>
      </c>
      <c r="M56" s="7" t="s">
        <v>158</v>
      </c>
      <c r="N56" s="7" t="s">
        <v>216</v>
      </c>
      <c r="O56" s="7" t="s">
        <v>214</v>
      </c>
      <c r="P56" s="7"/>
      <c r="Q56" s="7"/>
      <c r="R56" s="7" t="s">
        <v>279</v>
      </c>
      <c r="S56" s="7" t="s">
        <v>218</v>
      </c>
      <c r="T56" s="7" t="s">
        <v>214</v>
      </c>
      <c r="U56" s="7" t="s">
        <v>158</v>
      </c>
      <c r="V56" s="343" t="s">
        <v>158</v>
      </c>
    </row>
    <row r="57" spans="1:22" x14ac:dyDescent="0.35">
      <c r="A57" s="7" t="s">
        <v>28</v>
      </c>
      <c r="B57" s="7" t="s">
        <v>157</v>
      </c>
      <c r="C57" s="343">
        <v>9</v>
      </c>
      <c r="D57" s="344">
        <v>46103</v>
      </c>
      <c r="E57" s="7">
        <v>2</v>
      </c>
      <c r="F57" s="7">
        <v>150</v>
      </c>
      <c r="G57" s="7">
        <v>300</v>
      </c>
      <c r="H57" s="7" t="s">
        <v>211</v>
      </c>
      <c r="I57" s="7" t="s">
        <v>212</v>
      </c>
      <c r="J57" s="7" t="s">
        <v>213</v>
      </c>
      <c r="K57" s="7" t="s">
        <v>214</v>
      </c>
      <c r="L57" s="7" t="s">
        <v>229</v>
      </c>
      <c r="M57" s="7" t="s">
        <v>158</v>
      </c>
      <c r="N57" s="7" t="s">
        <v>216</v>
      </c>
      <c r="O57" s="7" t="s">
        <v>214</v>
      </c>
      <c r="P57" s="7"/>
      <c r="Q57" s="7"/>
      <c r="R57" s="7" t="s">
        <v>280</v>
      </c>
      <c r="S57" s="7" t="s">
        <v>218</v>
      </c>
      <c r="T57" s="7" t="s">
        <v>214</v>
      </c>
      <c r="U57" s="7" t="s">
        <v>158</v>
      </c>
      <c r="V57" s="343" t="s">
        <v>158</v>
      </c>
    </row>
    <row r="58" spans="1:22" x14ac:dyDescent="0.35">
      <c r="A58" s="7" t="s">
        <v>28</v>
      </c>
      <c r="B58" s="7" t="s">
        <v>157</v>
      </c>
      <c r="C58" s="343">
        <v>9</v>
      </c>
      <c r="D58" s="344">
        <v>46103</v>
      </c>
      <c r="E58" s="7">
        <v>2</v>
      </c>
      <c r="F58" s="7">
        <v>150</v>
      </c>
      <c r="G58" s="7">
        <v>300</v>
      </c>
      <c r="H58" s="7" t="s">
        <v>211</v>
      </c>
      <c r="I58" s="7" t="s">
        <v>212</v>
      </c>
      <c r="J58" s="7" t="s">
        <v>213</v>
      </c>
      <c r="K58" s="7" t="s">
        <v>214</v>
      </c>
      <c r="L58" s="7" t="s">
        <v>229</v>
      </c>
      <c r="M58" s="7" t="s">
        <v>158</v>
      </c>
      <c r="N58" s="7" t="s">
        <v>216</v>
      </c>
      <c r="O58" s="7" t="s">
        <v>214</v>
      </c>
      <c r="P58" s="7"/>
      <c r="Q58" s="7"/>
      <c r="R58" s="7" t="s">
        <v>281</v>
      </c>
      <c r="S58" s="7" t="s">
        <v>218</v>
      </c>
      <c r="T58" s="7" t="s">
        <v>214</v>
      </c>
      <c r="U58" s="7" t="s">
        <v>158</v>
      </c>
      <c r="V58" s="343" t="s">
        <v>158</v>
      </c>
    </row>
    <row r="59" spans="1:22" x14ac:dyDescent="0.35">
      <c r="A59" s="7" t="s">
        <v>28</v>
      </c>
      <c r="B59" s="7" t="s">
        <v>157</v>
      </c>
      <c r="C59" s="343">
        <v>9</v>
      </c>
      <c r="D59" s="344">
        <v>46103</v>
      </c>
      <c r="E59" s="7">
        <v>1</v>
      </c>
      <c r="F59" s="7">
        <v>150</v>
      </c>
      <c r="G59" s="7">
        <v>150</v>
      </c>
      <c r="H59" s="7" t="s">
        <v>211</v>
      </c>
      <c r="I59" s="7" t="s">
        <v>212</v>
      </c>
      <c r="J59" s="7" t="s">
        <v>213</v>
      </c>
      <c r="K59" s="7" t="s">
        <v>214</v>
      </c>
      <c r="L59" s="7" t="s">
        <v>229</v>
      </c>
      <c r="M59" s="7" t="s">
        <v>158</v>
      </c>
      <c r="N59" s="7" t="s">
        <v>216</v>
      </c>
      <c r="O59" s="7" t="s">
        <v>214</v>
      </c>
      <c r="P59" s="7"/>
      <c r="Q59" s="7"/>
      <c r="R59" s="7" t="s">
        <v>282</v>
      </c>
      <c r="S59" s="7" t="s">
        <v>218</v>
      </c>
      <c r="T59" s="7" t="s">
        <v>214</v>
      </c>
      <c r="U59" s="7" t="s">
        <v>158</v>
      </c>
      <c r="V59" s="343" t="s">
        <v>158</v>
      </c>
    </row>
    <row r="60" spans="1:22" x14ac:dyDescent="0.35">
      <c r="A60" s="7" t="s">
        <v>28</v>
      </c>
      <c r="B60" s="7" t="s">
        <v>157</v>
      </c>
      <c r="C60" s="343">
        <v>9</v>
      </c>
      <c r="D60" s="344">
        <v>46103</v>
      </c>
      <c r="E60" s="7">
        <v>1</v>
      </c>
      <c r="F60" s="7">
        <v>150</v>
      </c>
      <c r="G60" s="7">
        <v>150</v>
      </c>
      <c r="H60" s="7" t="s">
        <v>211</v>
      </c>
      <c r="I60" s="7" t="s">
        <v>212</v>
      </c>
      <c r="J60" s="7" t="s">
        <v>213</v>
      </c>
      <c r="K60" s="7" t="s">
        <v>214</v>
      </c>
      <c r="L60" s="7" t="s">
        <v>229</v>
      </c>
      <c r="M60" s="7" t="s">
        <v>158</v>
      </c>
      <c r="N60" s="7" t="s">
        <v>216</v>
      </c>
      <c r="O60" s="7" t="s">
        <v>214</v>
      </c>
      <c r="P60" s="7"/>
      <c r="Q60" s="7"/>
      <c r="R60" s="7" t="s">
        <v>283</v>
      </c>
      <c r="S60" s="7" t="s">
        <v>218</v>
      </c>
      <c r="T60" s="7" t="s">
        <v>214</v>
      </c>
      <c r="U60" s="7" t="s">
        <v>158</v>
      </c>
      <c r="V60" s="343" t="s">
        <v>158</v>
      </c>
    </row>
    <row r="61" spans="1:22" x14ac:dyDescent="0.35">
      <c r="A61" s="7" t="s">
        <v>28</v>
      </c>
      <c r="B61" s="7" t="s">
        <v>157</v>
      </c>
      <c r="C61" s="343">
        <v>9</v>
      </c>
      <c r="D61" s="344">
        <v>46103</v>
      </c>
      <c r="E61" s="7">
        <v>1</v>
      </c>
      <c r="F61" s="7">
        <v>150</v>
      </c>
      <c r="G61" s="7">
        <v>150</v>
      </c>
      <c r="H61" s="7" t="s">
        <v>211</v>
      </c>
      <c r="I61" s="7" t="s">
        <v>212</v>
      </c>
      <c r="J61" s="7" t="s">
        <v>213</v>
      </c>
      <c r="K61" s="7" t="s">
        <v>214</v>
      </c>
      <c r="L61" s="7" t="s">
        <v>229</v>
      </c>
      <c r="M61" s="7" t="s">
        <v>158</v>
      </c>
      <c r="N61" s="7" t="s">
        <v>216</v>
      </c>
      <c r="O61" s="7" t="s">
        <v>214</v>
      </c>
      <c r="P61" s="7"/>
      <c r="Q61" s="7"/>
      <c r="R61" s="7" t="s">
        <v>284</v>
      </c>
      <c r="S61" s="7" t="s">
        <v>218</v>
      </c>
      <c r="T61" s="7" t="s">
        <v>214</v>
      </c>
      <c r="U61" s="7" t="s">
        <v>158</v>
      </c>
      <c r="V61" s="343" t="s">
        <v>158</v>
      </c>
    </row>
    <row r="62" spans="1:22" x14ac:dyDescent="0.35">
      <c r="A62" s="7" t="s">
        <v>28</v>
      </c>
      <c r="B62" s="7" t="s">
        <v>157</v>
      </c>
      <c r="C62" s="343">
        <v>9</v>
      </c>
      <c r="D62" s="344">
        <v>46103</v>
      </c>
      <c r="E62" s="7">
        <v>1</v>
      </c>
      <c r="F62" s="7">
        <v>150</v>
      </c>
      <c r="G62" s="7">
        <v>150</v>
      </c>
      <c r="H62" s="7" t="s">
        <v>211</v>
      </c>
      <c r="I62" s="7" t="s">
        <v>212</v>
      </c>
      <c r="J62" s="7" t="s">
        <v>213</v>
      </c>
      <c r="K62" s="7" t="s">
        <v>214</v>
      </c>
      <c r="L62" s="7" t="s">
        <v>229</v>
      </c>
      <c r="M62" s="7" t="s">
        <v>158</v>
      </c>
      <c r="N62" s="7" t="s">
        <v>216</v>
      </c>
      <c r="O62" s="7" t="s">
        <v>214</v>
      </c>
      <c r="P62" s="7"/>
      <c r="Q62" s="7"/>
      <c r="R62" s="7" t="s">
        <v>285</v>
      </c>
      <c r="S62" s="7" t="s">
        <v>218</v>
      </c>
      <c r="T62" s="7" t="s">
        <v>214</v>
      </c>
      <c r="U62" s="7" t="s">
        <v>158</v>
      </c>
      <c r="V62" s="343" t="s">
        <v>158</v>
      </c>
    </row>
    <row r="63" spans="1:22" x14ac:dyDescent="0.35">
      <c r="A63" s="7" t="s">
        <v>28</v>
      </c>
      <c r="B63" s="7" t="s">
        <v>161</v>
      </c>
      <c r="C63" s="343">
        <v>9</v>
      </c>
      <c r="D63" s="344">
        <v>46103</v>
      </c>
      <c r="E63" s="7">
        <v>1</v>
      </c>
      <c r="F63" s="7">
        <v>155</v>
      </c>
      <c r="G63" s="7">
        <v>155</v>
      </c>
      <c r="H63" s="7" t="s">
        <v>211</v>
      </c>
      <c r="I63" s="7" t="s">
        <v>212</v>
      </c>
      <c r="J63" s="7" t="s">
        <v>213</v>
      </c>
      <c r="K63" s="7" t="s">
        <v>214</v>
      </c>
      <c r="L63" s="7" t="s">
        <v>225</v>
      </c>
      <c r="M63" s="7" t="s">
        <v>162</v>
      </c>
      <c r="N63" s="7" t="s">
        <v>216</v>
      </c>
      <c r="O63" s="7" t="s">
        <v>214</v>
      </c>
      <c r="P63" s="7"/>
      <c r="Q63" s="7"/>
      <c r="R63" s="7" t="s">
        <v>286</v>
      </c>
      <c r="S63" s="7" t="s">
        <v>218</v>
      </c>
      <c r="T63" s="7" t="s">
        <v>214</v>
      </c>
      <c r="U63" s="7" t="s">
        <v>162</v>
      </c>
      <c r="V63" s="343" t="s">
        <v>162</v>
      </c>
    </row>
    <row r="64" spans="1:22" x14ac:dyDescent="0.35">
      <c r="A64" s="7" t="s">
        <v>28</v>
      </c>
      <c r="B64" s="7" t="s">
        <v>161</v>
      </c>
      <c r="C64" s="343">
        <v>9</v>
      </c>
      <c r="D64" s="344">
        <v>46103</v>
      </c>
      <c r="E64" s="7">
        <v>1</v>
      </c>
      <c r="F64" s="7">
        <v>155</v>
      </c>
      <c r="G64" s="7">
        <v>155</v>
      </c>
      <c r="H64" s="7" t="s">
        <v>211</v>
      </c>
      <c r="I64" s="7" t="s">
        <v>212</v>
      </c>
      <c r="J64" s="7" t="s">
        <v>213</v>
      </c>
      <c r="K64" s="7" t="s">
        <v>214</v>
      </c>
      <c r="L64" s="7" t="s">
        <v>225</v>
      </c>
      <c r="M64" s="7" t="s">
        <v>162</v>
      </c>
      <c r="N64" s="7" t="s">
        <v>216</v>
      </c>
      <c r="O64" s="7" t="s">
        <v>214</v>
      </c>
      <c r="P64" s="7"/>
      <c r="Q64" s="7"/>
      <c r="R64" s="7" t="s">
        <v>287</v>
      </c>
      <c r="S64" s="7" t="s">
        <v>218</v>
      </c>
      <c r="T64" s="7" t="s">
        <v>214</v>
      </c>
      <c r="U64" s="7" t="s">
        <v>162</v>
      </c>
      <c r="V64" s="343" t="s">
        <v>162</v>
      </c>
    </row>
    <row r="65" spans="4:22" x14ac:dyDescent="0.35">
      <c r="D65" s="6"/>
      <c r="V65" s="9"/>
    </row>
    <row r="66" spans="4:22" x14ac:dyDescent="0.35">
      <c r="D66" s="6"/>
    </row>
    <row r="67" spans="4:22" x14ac:dyDescent="0.35">
      <c r="D67" s="6"/>
    </row>
    <row r="68" spans="4:22" x14ac:dyDescent="0.35">
      <c r="D68" s="6"/>
    </row>
    <row r="69" spans="4:22" x14ac:dyDescent="0.35">
      <c r="D69" s="6"/>
    </row>
    <row r="70" spans="4:22" x14ac:dyDescent="0.35">
      <c r="D70" s="6"/>
    </row>
    <row r="71" spans="4:22" x14ac:dyDescent="0.35">
      <c r="D71" s="6"/>
    </row>
    <row r="72" spans="4:22" x14ac:dyDescent="0.35">
      <c r="D72" s="6"/>
      <c r="V72" s="9"/>
    </row>
    <row r="73" spans="4:22" x14ac:dyDescent="0.35">
      <c r="D73" s="6"/>
      <c r="V73" s="9"/>
    </row>
    <row r="74" spans="4:22" x14ac:dyDescent="0.35">
      <c r="D74" s="6"/>
      <c r="V74" s="9"/>
    </row>
    <row r="75" spans="4:22" x14ac:dyDescent="0.35">
      <c r="D75" s="6"/>
      <c r="V75" s="9"/>
    </row>
    <row r="76" spans="4:22" x14ac:dyDescent="0.35">
      <c r="D76" s="6"/>
    </row>
    <row r="77" spans="4:22" x14ac:dyDescent="0.35">
      <c r="D77" s="6"/>
    </row>
    <row r="78" spans="4:22" x14ac:dyDescent="0.35">
      <c r="D78" s="6"/>
    </row>
    <row r="79" spans="4:22" x14ac:dyDescent="0.35">
      <c r="D79" s="6"/>
      <c r="V79" s="9"/>
    </row>
    <row r="80" spans="4:22" x14ac:dyDescent="0.35">
      <c r="D80" s="6"/>
    </row>
    <row r="81" spans="4:22" x14ac:dyDescent="0.35">
      <c r="D81" s="6"/>
    </row>
    <row r="82" spans="4:22" x14ac:dyDescent="0.35">
      <c r="D82" s="6"/>
    </row>
    <row r="83" spans="4:22" x14ac:dyDescent="0.35">
      <c r="D83" s="6"/>
      <c r="V83" s="9"/>
    </row>
    <row r="84" spans="4:22" x14ac:dyDescent="0.35">
      <c r="D84" s="6"/>
      <c r="V84" s="9"/>
    </row>
    <row r="85" spans="4:22" x14ac:dyDescent="0.35">
      <c r="D85" s="6"/>
      <c r="V85" s="9"/>
    </row>
    <row r="86" spans="4:22" x14ac:dyDescent="0.35">
      <c r="D86" s="6"/>
      <c r="V86" s="9"/>
    </row>
    <row r="87" spans="4:22" x14ac:dyDescent="0.35">
      <c r="D87" s="6"/>
      <c r="V87" s="9"/>
    </row>
    <row r="88" spans="4:22" x14ac:dyDescent="0.35">
      <c r="D88" s="6"/>
      <c r="V88" s="9"/>
    </row>
    <row r="89" spans="4:22" x14ac:dyDescent="0.35">
      <c r="D89" s="6"/>
    </row>
    <row r="90" spans="4:22" x14ac:dyDescent="0.35">
      <c r="D90" s="6"/>
      <c r="V90" s="9"/>
    </row>
    <row r="91" spans="4:22" x14ac:dyDescent="0.35">
      <c r="D91" s="6"/>
    </row>
    <row r="92" spans="4:22" x14ac:dyDescent="0.35">
      <c r="D92" s="6"/>
    </row>
    <row r="93" spans="4:22" x14ac:dyDescent="0.35">
      <c r="D93" s="6"/>
    </row>
    <row r="94" spans="4:22" x14ac:dyDescent="0.35">
      <c r="D94" s="6"/>
    </row>
    <row r="95" spans="4:22" x14ac:dyDescent="0.35">
      <c r="D95" s="6"/>
    </row>
    <row r="96" spans="4:22" x14ac:dyDescent="0.35">
      <c r="D96" s="6"/>
    </row>
    <row r="97" spans="4:4" x14ac:dyDescent="0.35">
      <c r="D97" s="6"/>
    </row>
    <row r="98" spans="4:4" x14ac:dyDescent="0.35">
      <c r="D98" s="6"/>
    </row>
    <row r="99" spans="4:4" x14ac:dyDescent="0.35">
      <c r="D99" s="6"/>
    </row>
    <row r="100" spans="4:4" x14ac:dyDescent="0.35">
      <c r="D100" s="6"/>
    </row>
    <row r="101" spans="4:4" x14ac:dyDescent="0.35">
      <c r="D101" s="6"/>
    </row>
    <row r="102" spans="4:4" x14ac:dyDescent="0.35">
      <c r="D102" s="6"/>
    </row>
    <row r="103" spans="4:4" x14ac:dyDescent="0.35">
      <c r="D103" s="6"/>
    </row>
    <row r="104" spans="4:4" x14ac:dyDescent="0.35">
      <c r="D104" s="6"/>
    </row>
    <row r="105" spans="4:4" x14ac:dyDescent="0.35">
      <c r="D105" s="6"/>
    </row>
    <row r="106" spans="4:4" x14ac:dyDescent="0.35">
      <c r="D106" s="6"/>
    </row>
    <row r="107" spans="4:4" x14ac:dyDescent="0.35">
      <c r="D107" s="6"/>
    </row>
    <row r="108" spans="4:4" x14ac:dyDescent="0.35">
      <c r="D108" s="6"/>
    </row>
    <row r="109" spans="4:4" x14ac:dyDescent="0.35">
      <c r="D109" s="6"/>
    </row>
    <row r="110" spans="4:4" x14ac:dyDescent="0.35">
      <c r="D110" s="6"/>
    </row>
    <row r="111" spans="4:4" x14ac:dyDescent="0.35">
      <c r="D111" s="6"/>
    </row>
    <row r="112" spans="4:4" x14ac:dyDescent="0.35">
      <c r="D112" s="6"/>
    </row>
    <row r="113" spans="4:4" x14ac:dyDescent="0.35">
      <c r="D113" s="6"/>
    </row>
    <row r="114" spans="4:4" x14ac:dyDescent="0.35">
      <c r="D114" s="6"/>
    </row>
    <row r="115" spans="4:4" x14ac:dyDescent="0.35">
      <c r="D115" s="6"/>
    </row>
    <row r="116" spans="4:4" x14ac:dyDescent="0.35">
      <c r="D116" s="6"/>
    </row>
    <row r="117" spans="4:4" x14ac:dyDescent="0.35">
      <c r="D117" s="6"/>
    </row>
    <row r="118" spans="4:4" x14ac:dyDescent="0.35">
      <c r="D118" s="6"/>
    </row>
    <row r="119" spans="4:4" x14ac:dyDescent="0.35">
      <c r="D119" s="6"/>
    </row>
    <row r="120" spans="4:4" x14ac:dyDescent="0.35">
      <c r="D120" s="6"/>
    </row>
    <row r="121" spans="4:4" x14ac:dyDescent="0.35">
      <c r="D121" s="6"/>
    </row>
    <row r="122" spans="4:4" x14ac:dyDescent="0.35">
      <c r="D122" s="6"/>
    </row>
    <row r="123" spans="4:4" x14ac:dyDescent="0.35">
      <c r="D123" s="6"/>
    </row>
    <row r="124" spans="4:4" x14ac:dyDescent="0.35">
      <c r="D124" s="6"/>
    </row>
    <row r="125" spans="4:4" x14ac:dyDescent="0.35">
      <c r="D125" s="6"/>
    </row>
    <row r="126" spans="4:4" x14ac:dyDescent="0.35">
      <c r="D126" s="6"/>
    </row>
    <row r="127" spans="4:4" x14ac:dyDescent="0.35">
      <c r="D127" s="6"/>
    </row>
    <row r="128" spans="4:4" x14ac:dyDescent="0.35">
      <c r="D128" s="6"/>
    </row>
    <row r="129" spans="4:4" x14ac:dyDescent="0.35">
      <c r="D129" s="6"/>
    </row>
    <row r="130" spans="4:4" x14ac:dyDescent="0.35">
      <c r="D130" s="6"/>
    </row>
    <row r="131" spans="4:4" x14ac:dyDescent="0.35">
      <c r="D131" s="6"/>
    </row>
    <row r="132" spans="4:4" x14ac:dyDescent="0.35">
      <c r="D132" s="6"/>
    </row>
    <row r="133" spans="4:4" x14ac:dyDescent="0.35">
      <c r="D133" s="6"/>
    </row>
    <row r="134" spans="4:4" x14ac:dyDescent="0.35">
      <c r="D134" s="6"/>
    </row>
    <row r="135" spans="4:4" x14ac:dyDescent="0.35">
      <c r="D135" s="6"/>
    </row>
    <row r="136" spans="4:4" x14ac:dyDescent="0.35">
      <c r="D136" s="6"/>
    </row>
    <row r="137" spans="4:4" x14ac:dyDescent="0.35">
      <c r="D137" s="6"/>
    </row>
    <row r="138" spans="4:4" x14ac:dyDescent="0.35">
      <c r="D138" s="6"/>
    </row>
    <row r="139" spans="4:4" x14ac:dyDescent="0.35">
      <c r="D139" s="6"/>
    </row>
    <row r="140" spans="4:4" x14ac:dyDescent="0.35">
      <c r="D140" s="6"/>
    </row>
    <row r="141" spans="4:4" x14ac:dyDescent="0.35">
      <c r="D141" s="6"/>
    </row>
    <row r="142" spans="4:4" x14ac:dyDescent="0.35">
      <c r="D142" s="6"/>
    </row>
    <row r="143" spans="4:4" x14ac:dyDescent="0.35">
      <c r="D143" s="6"/>
    </row>
    <row r="144" spans="4:4" x14ac:dyDescent="0.35">
      <c r="D144" s="6"/>
    </row>
    <row r="145" spans="4:4" x14ac:dyDescent="0.35">
      <c r="D145" s="6"/>
    </row>
    <row r="146" spans="4:4" x14ac:dyDescent="0.35">
      <c r="D146" s="6"/>
    </row>
    <row r="147" spans="4:4" x14ac:dyDescent="0.35">
      <c r="D147" s="6"/>
    </row>
    <row r="148" spans="4:4" x14ac:dyDescent="0.35">
      <c r="D148" s="6"/>
    </row>
    <row r="149" spans="4:4" x14ac:dyDescent="0.35">
      <c r="D149" s="6"/>
    </row>
    <row r="150" spans="4:4" x14ac:dyDescent="0.35">
      <c r="D150" s="6"/>
    </row>
    <row r="151" spans="4:4" x14ac:dyDescent="0.35">
      <c r="D151" s="6"/>
    </row>
    <row r="152" spans="4:4" x14ac:dyDescent="0.35">
      <c r="D152" s="6"/>
    </row>
    <row r="153" spans="4:4" x14ac:dyDescent="0.35">
      <c r="D153" s="6"/>
    </row>
    <row r="154" spans="4:4" x14ac:dyDescent="0.35">
      <c r="D154" s="6"/>
    </row>
    <row r="155" spans="4:4" x14ac:dyDescent="0.35">
      <c r="D155" s="6"/>
    </row>
    <row r="156" spans="4:4" x14ac:dyDescent="0.35">
      <c r="D156" s="6"/>
    </row>
    <row r="157" spans="4:4" x14ac:dyDescent="0.35">
      <c r="D157" s="6"/>
    </row>
    <row r="158" spans="4:4" x14ac:dyDescent="0.35">
      <c r="D158" s="6"/>
    </row>
    <row r="159" spans="4:4" x14ac:dyDescent="0.35">
      <c r="D159" s="6"/>
    </row>
    <row r="160" spans="4:4" x14ac:dyDescent="0.35">
      <c r="D160" s="6"/>
    </row>
    <row r="161" spans="4:4" x14ac:dyDescent="0.35">
      <c r="D161" s="6"/>
    </row>
    <row r="162" spans="4:4" x14ac:dyDescent="0.35">
      <c r="D162" s="6"/>
    </row>
    <row r="163" spans="4:4" x14ac:dyDescent="0.35">
      <c r="D163" s="6"/>
    </row>
    <row r="164" spans="4:4" x14ac:dyDescent="0.35">
      <c r="D164" s="6"/>
    </row>
    <row r="165" spans="4:4" x14ac:dyDescent="0.35">
      <c r="D165" s="6"/>
    </row>
    <row r="166" spans="4:4" x14ac:dyDescent="0.35">
      <c r="D166" s="6"/>
    </row>
    <row r="167" spans="4:4" x14ac:dyDescent="0.35">
      <c r="D167" s="6"/>
    </row>
    <row r="168" spans="4:4" x14ac:dyDescent="0.35">
      <c r="D168" s="6"/>
    </row>
    <row r="169" spans="4:4" x14ac:dyDescent="0.35">
      <c r="D169" s="6"/>
    </row>
    <row r="170" spans="4:4" x14ac:dyDescent="0.35">
      <c r="D170" s="6"/>
    </row>
    <row r="171" spans="4:4" x14ac:dyDescent="0.35">
      <c r="D171" s="6"/>
    </row>
    <row r="172" spans="4:4" x14ac:dyDescent="0.35">
      <c r="D172" s="6"/>
    </row>
    <row r="173" spans="4:4" x14ac:dyDescent="0.35">
      <c r="D173" s="6"/>
    </row>
    <row r="174" spans="4:4" x14ac:dyDescent="0.35">
      <c r="D174" s="6"/>
    </row>
    <row r="175" spans="4:4" x14ac:dyDescent="0.35">
      <c r="D175" s="6"/>
    </row>
    <row r="176" spans="4:4" x14ac:dyDescent="0.35">
      <c r="D176" s="6"/>
    </row>
    <row r="177" spans="4:4" x14ac:dyDescent="0.35">
      <c r="D177" s="6"/>
    </row>
    <row r="178" spans="4:4" x14ac:dyDescent="0.35">
      <c r="D178" s="6"/>
    </row>
    <row r="179" spans="4:4" x14ac:dyDescent="0.35">
      <c r="D179" s="6"/>
    </row>
    <row r="180" spans="4:4" x14ac:dyDescent="0.35">
      <c r="D180" s="6"/>
    </row>
    <row r="181" spans="4:4" x14ac:dyDescent="0.35">
      <c r="D181" s="6"/>
    </row>
    <row r="182" spans="4:4" x14ac:dyDescent="0.35">
      <c r="D182" s="6"/>
    </row>
    <row r="183" spans="4:4" x14ac:dyDescent="0.35">
      <c r="D183" s="6"/>
    </row>
    <row r="184" spans="4:4" x14ac:dyDescent="0.35">
      <c r="D184" s="6"/>
    </row>
    <row r="185" spans="4:4" x14ac:dyDescent="0.35">
      <c r="D185" s="6"/>
    </row>
    <row r="186" spans="4:4" x14ac:dyDescent="0.35">
      <c r="D186" s="6"/>
    </row>
    <row r="187" spans="4:4" x14ac:dyDescent="0.35">
      <c r="D187" s="6"/>
    </row>
    <row r="188" spans="4:4" x14ac:dyDescent="0.35">
      <c r="D188" s="6"/>
    </row>
    <row r="189" spans="4:4" x14ac:dyDescent="0.35">
      <c r="D189" s="6"/>
    </row>
    <row r="190" spans="4:4" x14ac:dyDescent="0.35">
      <c r="D190" s="6"/>
    </row>
    <row r="191" spans="4:4" x14ac:dyDescent="0.35">
      <c r="D191" s="6"/>
    </row>
    <row r="192" spans="4:4" x14ac:dyDescent="0.35">
      <c r="D192" s="6"/>
    </row>
    <row r="193" spans="4:4" x14ac:dyDescent="0.35">
      <c r="D193" s="6"/>
    </row>
    <row r="194" spans="4:4" x14ac:dyDescent="0.35">
      <c r="D194" s="6"/>
    </row>
    <row r="195" spans="4:4" x14ac:dyDescent="0.35">
      <c r="D195" s="6"/>
    </row>
    <row r="196" spans="4:4" x14ac:dyDescent="0.35">
      <c r="D196" s="6"/>
    </row>
    <row r="197" spans="4:4" x14ac:dyDescent="0.35">
      <c r="D197" s="6"/>
    </row>
    <row r="198" spans="4:4" x14ac:dyDescent="0.35">
      <c r="D198" s="6"/>
    </row>
    <row r="199" spans="4:4" x14ac:dyDescent="0.35">
      <c r="D199" s="6"/>
    </row>
    <row r="200" spans="4:4" x14ac:dyDescent="0.35">
      <c r="D200" s="6"/>
    </row>
    <row r="201" spans="4:4" x14ac:dyDescent="0.35">
      <c r="D201" s="6"/>
    </row>
    <row r="202" spans="4:4" x14ac:dyDescent="0.35">
      <c r="D202" s="6"/>
    </row>
    <row r="203" spans="4:4" x14ac:dyDescent="0.35">
      <c r="D203" s="6"/>
    </row>
    <row r="204" spans="4:4" x14ac:dyDescent="0.35">
      <c r="D204" s="6"/>
    </row>
    <row r="205" spans="4:4" x14ac:dyDescent="0.35">
      <c r="D205" s="6"/>
    </row>
    <row r="206" spans="4:4" x14ac:dyDescent="0.35">
      <c r="D206" s="6"/>
    </row>
    <row r="207" spans="4:4" x14ac:dyDescent="0.35">
      <c r="D207" s="6"/>
    </row>
    <row r="208" spans="4:4" x14ac:dyDescent="0.35">
      <c r="D208" s="6"/>
    </row>
    <row r="209" spans="4:4" x14ac:dyDescent="0.35">
      <c r="D209" s="6"/>
    </row>
    <row r="210" spans="4:4" x14ac:dyDescent="0.35">
      <c r="D210" s="6"/>
    </row>
    <row r="211" spans="4:4" x14ac:dyDescent="0.35">
      <c r="D211" s="6"/>
    </row>
    <row r="212" spans="4:4" x14ac:dyDescent="0.35">
      <c r="D212" s="6"/>
    </row>
    <row r="213" spans="4:4" x14ac:dyDescent="0.35">
      <c r="D213" s="6"/>
    </row>
    <row r="214" spans="4:4" x14ac:dyDescent="0.35">
      <c r="D214" s="6"/>
    </row>
    <row r="215" spans="4:4" x14ac:dyDescent="0.35">
      <c r="D215" s="6"/>
    </row>
    <row r="216" spans="4:4" x14ac:dyDescent="0.35">
      <c r="D216" s="6"/>
    </row>
    <row r="217" spans="4:4" x14ac:dyDescent="0.35">
      <c r="D217" s="6"/>
    </row>
    <row r="218" spans="4:4" x14ac:dyDescent="0.35">
      <c r="D218" s="6"/>
    </row>
    <row r="219" spans="4:4" x14ac:dyDescent="0.35">
      <c r="D219" s="6"/>
    </row>
    <row r="220" spans="4:4" x14ac:dyDescent="0.35">
      <c r="D220" s="6"/>
    </row>
    <row r="221" spans="4:4" x14ac:dyDescent="0.35">
      <c r="D221" s="6"/>
    </row>
    <row r="222" spans="4:4" x14ac:dyDescent="0.35">
      <c r="D222" s="6"/>
    </row>
    <row r="223" spans="4:4" x14ac:dyDescent="0.35">
      <c r="D223" s="6"/>
    </row>
    <row r="224" spans="4:4" x14ac:dyDescent="0.35">
      <c r="D224" s="6"/>
    </row>
    <row r="225" spans="4:4" x14ac:dyDescent="0.35">
      <c r="D225" s="6"/>
    </row>
    <row r="226" spans="4:4" x14ac:dyDescent="0.35">
      <c r="D226" s="6"/>
    </row>
    <row r="227" spans="4:4" x14ac:dyDescent="0.35">
      <c r="D227" s="6"/>
    </row>
    <row r="228" spans="4:4" x14ac:dyDescent="0.35">
      <c r="D228" s="6"/>
    </row>
    <row r="229" spans="4:4" x14ac:dyDescent="0.35">
      <c r="D229" s="6"/>
    </row>
    <row r="230" spans="4:4" x14ac:dyDescent="0.35">
      <c r="D230" s="6"/>
    </row>
    <row r="231" spans="4:4" x14ac:dyDescent="0.35">
      <c r="D231" s="6"/>
    </row>
    <row r="232" spans="4:4" x14ac:dyDescent="0.35">
      <c r="D232" s="6"/>
    </row>
    <row r="233" spans="4:4" x14ac:dyDescent="0.35">
      <c r="D233" s="6"/>
    </row>
    <row r="234" spans="4:4" x14ac:dyDescent="0.35">
      <c r="D234" s="6"/>
    </row>
    <row r="235" spans="4:4" x14ac:dyDescent="0.35">
      <c r="D235" s="6"/>
    </row>
    <row r="236" spans="4:4" x14ac:dyDescent="0.35">
      <c r="D236" s="6"/>
    </row>
    <row r="237" spans="4:4" x14ac:dyDescent="0.35">
      <c r="D237" s="6"/>
    </row>
    <row r="238" spans="4:4" x14ac:dyDescent="0.35">
      <c r="D238" s="6"/>
    </row>
    <row r="239" spans="4:4" x14ac:dyDescent="0.35">
      <c r="D239" s="6"/>
    </row>
    <row r="240" spans="4:4" x14ac:dyDescent="0.35">
      <c r="D240" s="6"/>
    </row>
    <row r="241" spans="4:4" x14ac:dyDescent="0.35">
      <c r="D241" s="6"/>
    </row>
    <row r="242" spans="4:4" x14ac:dyDescent="0.35">
      <c r="D242" s="6"/>
    </row>
    <row r="243" spans="4:4" x14ac:dyDescent="0.35">
      <c r="D243" s="6"/>
    </row>
    <row r="244" spans="4:4" x14ac:dyDescent="0.35">
      <c r="D244" s="6"/>
    </row>
    <row r="245" spans="4:4" x14ac:dyDescent="0.35">
      <c r="D245" s="6"/>
    </row>
    <row r="246" spans="4:4" x14ac:dyDescent="0.35">
      <c r="D246" s="6"/>
    </row>
    <row r="247" spans="4:4" x14ac:dyDescent="0.35">
      <c r="D247" s="6"/>
    </row>
    <row r="248" spans="4:4" x14ac:dyDescent="0.35">
      <c r="D248" s="6"/>
    </row>
    <row r="249" spans="4:4" x14ac:dyDescent="0.35">
      <c r="D249" s="6"/>
    </row>
    <row r="250" spans="4:4" x14ac:dyDescent="0.35">
      <c r="D250" s="6"/>
    </row>
    <row r="251" spans="4:4" x14ac:dyDescent="0.35">
      <c r="D251" s="6"/>
    </row>
    <row r="252" spans="4:4" x14ac:dyDescent="0.35">
      <c r="D252" s="6"/>
    </row>
    <row r="253" spans="4:4" x14ac:dyDescent="0.35">
      <c r="D253" s="6"/>
    </row>
    <row r="254" spans="4:4" x14ac:dyDescent="0.35">
      <c r="D254" s="6"/>
    </row>
    <row r="255" spans="4:4" x14ac:dyDescent="0.35">
      <c r="D255" s="6"/>
    </row>
    <row r="256" spans="4:4" x14ac:dyDescent="0.35">
      <c r="D256" s="6"/>
    </row>
    <row r="257" spans="4:4" x14ac:dyDescent="0.35">
      <c r="D257" s="6"/>
    </row>
    <row r="258" spans="4:4" x14ac:dyDescent="0.35">
      <c r="D258" s="6"/>
    </row>
    <row r="259" spans="4:4" x14ac:dyDescent="0.35">
      <c r="D259" s="6"/>
    </row>
    <row r="260" spans="4:4" x14ac:dyDescent="0.35">
      <c r="D260" s="6"/>
    </row>
    <row r="261" spans="4:4" x14ac:dyDescent="0.35">
      <c r="D261" s="6"/>
    </row>
    <row r="262" spans="4:4" x14ac:dyDescent="0.35">
      <c r="D262" s="6"/>
    </row>
    <row r="263" spans="4:4" x14ac:dyDescent="0.35">
      <c r="D263" s="6"/>
    </row>
    <row r="264" spans="4:4" x14ac:dyDescent="0.35">
      <c r="D264" s="6"/>
    </row>
    <row r="265" spans="4:4" x14ac:dyDescent="0.35">
      <c r="D265" s="6"/>
    </row>
    <row r="266" spans="4:4" x14ac:dyDescent="0.35">
      <c r="D266" s="6"/>
    </row>
    <row r="267" spans="4:4" x14ac:dyDescent="0.35">
      <c r="D267" s="6"/>
    </row>
    <row r="268" spans="4:4" x14ac:dyDescent="0.35">
      <c r="D268" s="6"/>
    </row>
    <row r="269" spans="4:4" x14ac:dyDescent="0.35">
      <c r="D269" s="6"/>
    </row>
    <row r="270" spans="4:4" x14ac:dyDescent="0.35">
      <c r="D270" s="6"/>
    </row>
    <row r="271" spans="4:4" x14ac:dyDescent="0.35">
      <c r="D271" s="6"/>
    </row>
    <row r="272" spans="4:4" x14ac:dyDescent="0.35">
      <c r="D272" s="6"/>
    </row>
    <row r="273" spans="4:4" x14ac:dyDescent="0.35">
      <c r="D273" s="6"/>
    </row>
    <row r="274" spans="4:4" x14ac:dyDescent="0.35">
      <c r="D274" s="6"/>
    </row>
    <row r="275" spans="4:4" x14ac:dyDescent="0.35">
      <c r="D275" s="6"/>
    </row>
    <row r="276" spans="4:4" x14ac:dyDescent="0.35">
      <c r="D276" s="6"/>
    </row>
    <row r="277" spans="4:4" x14ac:dyDescent="0.35">
      <c r="D277" s="6"/>
    </row>
    <row r="278" spans="4:4" x14ac:dyDescent="0.35">
      <c r="D278" s="6"/>
    </row>
    <row r="279" spans="4:4" x14ac:dyDescent="0.35">
      <c r="D279" s="6"/>
    </row>
    <row r="280" spans="4:4" x14ac:dyDescent="0.35">
      <c r="D280" s="6"/>
    </row>
    <row r="281" spans="4:4" x14ac:dyDescent="0.35">
      <c r="D281" s="6"/>
    </row>
    <row r="282" spans="4:4" x14ac:dyDescent="0.35">
      <c r="D282" s="6"/>
    </row>
    <row r="283" spans="4:4" x14ac:dyDescent="0.35">
      <c r="D283" s="6"/>
    </row>
    <row r="284" spans="4:4" x14ac:dyDescent="0.35">
      <c r="D284" s="6"/>
    </row>
    <row r="285" spans="4:4" x14ac:dyDescent="0.35">
      <c r="D285" s="6"/>
    </row>
    <row r="286" spans="4:4" x14ac:dyDescent="0.35">
      <c r="D286" s="6"/>
    </row>
    <row r="287" spans="4:4" x14ac:dyDescent="0.35">
      <c r="D287" s="6"/>
    </row>
    <row r="288" spans="4:4" x14ac:dyDescent="0.35">
      <c r="D288" s="6"/>
    </row>
    <row r="289" spans="4:4" x14ac:dyDescent="0.35">
      <c r="D289" s="6"/>
    </row>
    <row r="290" spans="4:4" x14ac:dyDescent="0.35">
      <c r="D290" s="6"/>
    </row>
    <row r="291" spans="4:4" x14ac:dyDescent="0.35">
      <c r="D291" s="6"/>
    </row>
    <row r="292" spans="4:4" x14ac:dyDescent="0.35">
      <c r="D292" s="6"/>
    </row>
    <row r="293" spans="4:4" x14ac:dyDescent="0.35">
      <c r="D293" s="6"/>
    </row>
    <row r="294" spans="4:4" x14ac:dyDescent="0.35">
      <c r="D294" s="6"/>
    </row>
    <row r="295" spans="4:4" x14ac:dyDescent="0.35">
      <c r="D295" s="6"/>
    </row>
    <row r="296" spans="4:4" x14ac:dyDescent="0.35">
      <c r="D296" s="6"/>
    </row>
    <row r="297" spans="4:4" x14ac:dyDescent="0.35">
      <c r="D297" s="6"/>
    </row>
    <row r="298" spans="4:4" x14ac:dyDescent="0.35">
      <c r="D298" s="6"/>
    </row>
    <row r="299" spans="4:4" x14ac:dyDescent="0.35">
      <c r="D299" s="6"/>
    </row>
    <row r="300" spans="4:4" x14ac:dyDescent="0.35">
      <c r="D300" s="6"/>
    </row>
    <row r="301" spans="4:4" x14ac:dyDescent="0.35">
      <c r="D301" s="6"/>
    </row>
    <row r="302" spans="4:4" x14ac:dyDescent="0.35">
      <c r="D302" s="6"/>
    </row>
    <row r="303" spans="4:4" x14ac:dyDescent="0.35">
      <c r="D303" s="6"/>
    </row>
    <row r="304" spans="4:4" x14ac:dyDescent="0.35">
      <c r="D304" s="6"/>
    </row>
    <row r="305" spans="4:4" x14ac:dyDescent="0.35">
      <c r="D305" s="6"/>
    </row>
    <row r="306" spans="4:4" x14ac:dyDescent="0.35">
      <c r="D306" s="6"/>
    </row>
    <row r="307" spans="4:4" x14ac:dyDescent="0.35">
      <c r="D307" s="6"/>
    </row>
    <row r="308" spans="4:4" x14ac:dyDescent="0.35">
      <c r="D308" s="6"/>
    </row>
    <row r="309" spans="4:4" x14ac:dyDescent="0.35">
      <c r="D309" s="6"/>
    </row>
    <row r="310" spans="4:4" x14ac:dyDescent="0.35">
      <c r="D310" s="6"/>
    </row>
    <row r="311" spans="4:4" x14ac:dyDescent="0.35">
      <c r="D311" s="6"/>
    </row>
    <row r="312" spans="4:4" x14ac:dyDescent="0.35">
      <c r="D312" s="6"/>
    </row>
    <row r="313" spans="4:4" x14ac:dyDescent="0.35">
      <c r="D313" s="6"/>
    </row>
    <row r="314" spans="4:4" x14ac:dyDescent="0.35">
      <c r="D314" s="6"/>
    </row>
    <row r="315" spans="4:4" x14ac:dyDescent="0.35">
      <c r="D315" s="6"/>
    </row>
    <row r="316" spans="4:4" x14ac:dyDescent="0.35">
      <c r="D316" s="6"/>
    </row>
    <row r="317" spans="4:4" x14ac:dyDescent="0.35">
      <c r="D317" s="6"/>
    </row>
    <row r="318" spans="4:4" x14ac:dyDescent="0.35">
      <c r="D318" s="6"/>
    </row>
    <row r="319" spans="4:4" x14ac:dyDescent="0.35">
      <c r="D319" s="6"/>
    </row>
    <row r="320" spans="4:4" x14ac:dyDescent="0.35">
      <c r="D320" s="6"/>
    </row>
    <row r="321" spans="4:4" x14ac:dyDescent="0.35">
      <c r="D321" s="6"/>
    </row>
    <row r="322" spans="4:4" x14ac:dyDescent="0.35">
      <c r="D322" s="6"/>
    </row>
    <row r="323" spans="4:4" x14ac:dyDescent="0.35">
      <c r="D323" s="6"/>
    </row>
    <row r="324" spans="4:4" x14ac:dyDescent="0.35">
      <c r="D324" s="6"/>
    </row>
    <row r="325" spans="4:4" x14ac:dyDescent="0.35">
      <c r="D325" s="6"/>
    </row>
    <row r="326" spans="4:4" x14ac:dyDescent="0.35">
      <c r="D326" s="6"/>
    </row>
    <row r="327" spans="4:4" x14ac:dyDescent="0.35">
      <c r="D327" s="6"/>
    </row>
    <row r="328" spans="4:4" x14ac:dyDescent="0.35">
      <c r="D328" s="6"/>
    </row>
    <row r="329" spans="4:4" x14ac:dyDescent="0.35">
      <c r="D329" s="6"/>
    </row>
    <row r="330" spans="4:4" x14ac:dyDescent="0.35">
      <c r="D330" s="6"/>
    </row>
    <row r="331" spans="4:4" x14ac:dyDescent="0.35">
      <c r="D331" s="6"/>
    </row>
    <row r="332" spans="4:4" x14ac:dyDescent="0.35">
      <c r="D332" s="6"/>
    </row>
    <row r="333" spans="4:4" x14ac:dyDescent="0.35">
      <c r="D333" s="6"/>
    </row>
    <row r="334" spans="4:4" x14ac:dyDescent="0.35">
      <c r="D334" s="6"/>
    </row>
    <row r="335" spans="4:4" x14ac:dyDescent="0.35">
      <c r="D335" s="6"/>
    </row>
    <row r="336" spans="4:4" x14ac:dyDescent="0.35">
      <c r="D336" s="6"/>
    </row>
    <row r="337" spans="4:7" x14ac:dyDescent="0.35">
      <c r="D337" s="6"/>
      <c r="G337" s="1"/>
    </row>
    <row r="338" spans="4:7" x14ac:dyDescent="0.35">
      <c r="D338" s="6"/>
    </row>
    <row r="339" spans="4:7" x14ac:dyDescent="0.35">
      <c r="D339" s="6"/>
    </row>
    <row r="340" spans="4:7" x14ac:dyDescent="0.35">
      <c r="D340" s="6"/>
    </row>
    <row r="341" spans="4:7" x14ac:dyDescent="0.35">
      <c r="D341" s="6"/>
    </row>
    <row r="342" spans="4:7" x14ac:dyDescent="0.35">
      <c r="D342" s="6"/>
    </row>
    <row r="343" spans="4:7" x14ac:dyDescent="0.35">
      <c r="D343" s="6"/>
    </row>
    <row r="344" spans="4:7" x14ac:dyDescent="0.35">
      <c r="D344" s="6"/>
    </row>
    <row r="345" spans="4:7" x14ac:dyDescent="0.35">
      <c r="D345" s="6"/>
    </row>
    <row r="346" spans="4:7" x14ac:dyDescent="0.35">
      <c r="D346" s="6"/>
    </row>
    <row r="347" spans="4:7" x14ac:dyDescent="0.35">
      <c r="D347" s="6"/>
    </row>
    <row r="348" spans="4:7" x14ac:dyDescent="0.35">
      <c r="D348" s="6"/>
    </row>
    <row r="349" spans="4:7" x14ac:dyDescent="0.35">
      <c r="D349" s="6"/>
    </row>
    <row r="350" spans="4:7" x14ac:dyDescent="0.35">
      <c r="D350" s="6"/>
    </row>
    <row r="351" spans="4:7" x14ac:dyDescent="0.35">
      <c r="D351" s="6"/>
    </row>
    <row r="352" spans="4:7" x14ac:dyDescent="0.35">
      <c r="D352" s="6"/>
    </row>
    <row r="353" spans="4:7" x14ac:dyDescent="0.35">
      <c r="D353" s="6"/>
    </row>
    <row r="354" spans="4:7" x14ac:dyDescent="0.35">
      <c r="D354" s="6"/>
    </row>
    <row r="355" spans="4:7" x14ac:dyDescent="0.35">
      <c r="D355" s="6"/>
    </row>
    <row r="356" spans="4:7" x14ac:dyDescent="0.35">
      <c r="D356" s="6"/>
    </row>
    <row r="357" spans="4:7" x14ac:dyDescent="0.35">
      <c r="D357" s="6"/>
      <c r="G357" s="1"/>
    </row>
    <row r="358" spans="4:7" x14ac:dyDescent="0.35">
      <c r="D358" s="6"/>
      <c r="G358" s="1"/>
    </row>
    <row r="359" spans="4:7" x14ac:dyDescent="0.35">
      <c r="D359" s="6"/>
    </row>
    <row r="360" spans="4:7" x14ac:dyDescent="0.35">
      <c r="D360" s="6"/>
    </row>
    <row r="361" spans="4:7" x14ac:dyDescent="0.35">
      <c r="D361" s="6"/>
    </row>
    <row r="362" spans="4:7" x14ac:dyDescent="0.35">
      <c r="D362" s="6"/>
    </row>
    <row r="363" spans="4:7" x14ac:dyDescent="0.35">
      <c r="D363" s="6"/>
    </row>
    <row r="364" spans="4:7" x14ac:dyDescent="0.35">
      <c r="D364" s="6"/>
    </row>
    <row r="365" spans="4:7" x14ac:dyDescent="0.35">
      <c r="D365" s="6"/>
    </row>
    <row r="366" spans="4:7" x14ac:dyDescent="0.35">
      <c r="D366" s="6"/>
    </row>
    <row r="367" spans="4:7" x14ac:dyDescent="0.35">
      <c r="D367" s="6"/>
    </row>
    <row r="368" spans="4:7" x14ac:dyDescent="0.35">
      <c r="D368" s="6"/>
    </row>
    <row r="369" spans="4:4" x14ac:dyDescent="0.35">
      <c r="D369" s="6"/>
    </row>
    <row r="370" spans="4:4" x14ac:dyDescent="0.35">
      <c r="D370" s="6"/>
    </row>
    <row r="371" spans="4:4" x14ac:dyDescent="0.35">
      <c r="D371" s="6"/>
    </row>
    <row r="372" spans="4:4" x14ac:dyDescent="0.35">
      <c r="D372" s="6"/>
    </row>
    <row r="373" spans="4:4" x14ac:dyDescent="0.35">
      <c r="D373" s="6"/>
    </row>
    <row r="374" spans="4:4" x14ac:dyDescent="0.35">
      <c r="D374" s="6"/>
    </row>
    <row r="375" spans="4:4" x14ac:dyDescent="0.35">
      <c r="D375" s="6"/>
    </row>
    <row r="376" spans="4:4" x14ac:dyDescent="0.35">
      <c r="D376" s="6"/>
    </row>
    <row r="377" spans="4:4" x14ac:dyDescent="0.35">
      <c r="D377" s="6"/>
    </row>
    <row r="378" spans="4:4" x14ac:dyDescent="0.35">
      <c r="D378" s="6"/>
    </row>
    <row r="379" spans="4:4" x14ac:dyDescent="0.35">
      <c r="D379" s="6"/>
    </row>
    <row r="380" spans="4:4" x14ac:dyDescent="0.35">
      <c r="D380" s="6"/>
    </row>
    <row r="381" spans="4:4" x14ac:dyDescent="0.35">
      <c r="D381" s="6"/>
    </row>
    <row r="382" spans="4:4" x14ac:dyDescent="0.35">
      <c r="D382" s="6"/>
    </row>
    <row r="383" spans="4:4" x14ac:dyDescent="0.35">
      <c r="D383" s="6"/>
    </row>
    <row r="384" spans="4:4" x14ac:dyDescent="0.35">
      <c r="D384" s="6"/>
    </row>
    <row r="385" spans="4:7" x14ac:dyDescent="0.35">
      <c r="D385" s="6"/>
    </row>
    <row r="386" spans="4:7" x14ac:dyDescent="0.35">
      <c r="D386" s="6"/>
    </row>
    <row r="387" spans="4:7" x14ac:dyDescent="0.35">
      <c r="D387" s="6"/>
    </row>
    <row r="388" spans="4:7" x14ac:dyDescent="0.35">
      <c r="D388" s="6"/>
    </row>
    <row r="389" spans="4:7" x14ac:dyDescent="0.35">
      <c r="D389" s="6"/>
      <c r="G389" s="1"/>
    </row>
    <row r="390" spans="4:7" x14ac:dyDescent="0.35">
      <c r="D390" s="6"/>
      <c r="G390" s="1"/>
    </row>
    <row r="391" spans="4:7" x14ac:dyDescent="0.35">
      <c r="D391" s="6"/>
    </row>
    <row r="392" spans="4:7" x14ac:dyDescent="0.35">
      <c r="D392" s="6"/>
    </row>
    <row r="393" spans="4:7" x14ac:dyDescent="0.35">
      <c r="D393" s="6"/>
    </row>
    <row r="394" spans="4:7" x14ac:dyDescent="0.35">
      <c r="D394" s="6"/>
    </row>
    <row r="395" spans="4:7" x14ac:dyDescent="0.35">
      <c r="D395" s="6"/>
    </row>
    <row r="396" spans="4:7" x14ac:dyDescent="0.35">
      <c r="D396" s="6"/>
    </row>
    <row r="397" spans="4:7" x14ac:dyDescent="0.35">
      <c r="D397" s="6"/>
    </row>
    <row r="398" spans="4:7" x14ac:dyDescent="0.35">
      <c r="D398" s="6"/>
    </row>
    <row r="399" spans="4:7" x14ac:dyDescent="0.35">
      <c r="D399" s="6"/>
    </row>
    <row r="400" spans="4:7" x14ac:dyDescent="0.35">
      <c r="D400" s="6"/>
      <c r="G400" s="1"/>
    </row>
    <row r="401" spans="4:7" x14ac:dyDescent="0.35">
      <c r="D401" s="6"/>
    </row>
    <row r="402" spans="4:7" x14ac:dyDescent="0.35">
      <c r="D402" s="6"/>
    </row>
    <row r="403" spans="4:7" x14ac:dyDescent="0.35">
      <c r="D403" s="6"/>
    </row>
    <row r="404" spans="4:7" x14ac:dyDescent="0.35">
      <c r="D404" s="6"/>
    </row>
    <row r="405" spans="4:7" x14ac:dyDescent="0.35">
      <c r="D405" s="6"/>
    </row>
    <row r="406" spans="4:7" x14ac:dyDescent="0.35">
      <c r="D406" s="6"/>
    </row>
    <row r="407" spans="4:7" x14ac:dyDescent="0.35">
      <c r="D407" s="6"/>
    </row>
    <row r="408" spans="4:7" x14ac:dyDescent="0.35">
      <c r="D408" s="6"/>
    </row>
    <row r="409" spans="4:7" x14ac:dyDescent="0.35">
      <c r="D409" s="6"/>
    </row>
    <row r="410" spans="4:7" x14ac:dyDescent="0.35">
      <c r="D410" s="6"/>
    </row>
    <row r="411" spans="4:7" x14ac:dyDescent="0.35">
      <c r="D411" s="6"/>
    </row>
    <row r="412" spans="4:7" x14ac:dyDescent="0.35">
      <c r="D412" s="6"/>
      <c r="G412" s="10"/>
    </row>
    <row r="413" spans="4:7" x14ac:dyDescent="0.35">
      <c r="D413" s="6"/>
    </row>
    <row r="414" spans="4:7" x14ac:dyDescent="0.35">
      <c r="D414" s="6"/>
    </row>
    <row r="415" spans="4:7" x14ac:dyDescent="0.35">
      <c r="D415" s="6"/>
    </row>
    <row r="416" spans="4:7" x14ac:dyDescent="0.35">
      <c r="D416" s="6"/>
    </row>
    <row r="417" spans="4:22" x14ac:dyDescent="0.35">
      <c r="D417" s="6"/>
    </row>
    <row r="418" spans="4:22" x14ac:dyDescent="0.35">
      <c r="D418" s="6"/>
    </row>
    <row r="419" spans="4:22" x14ac:dyDescent="0.35">
      <c r="D419" s="6"/>
    </row>
    <row r="420" spans="4:22" x14ac:dyDescent="0.35">
      <c r="D420" s="6"/>
    </row>
    <row r="421" spans="4:22" x14ac:dyDescent="0.35">
      <c r="D421" s="6"/>
    </row>
    <row r="422" spans="4:22" x14ac:dyDescent="0.35">
      <c r="D422" s="6"/>
      <c r="V422" s="9"/>
    </row>
    <row r="423" spans="4:22" x14ac:dyDescent="0.35">
      <c r="D423" s="6"/>
      <c r="V423" s="9"/>
    </row>
    <row r="424" spans="4:22" x14ac:dyDescent="0.35">
      <c r="D424" s="6"/>
      <c r="V424" s="9"/>
    </row>
    <row r="425" spans="4:22" x14ac:dyDescent="0.35">
      <c r="D425" s="6"/>
      <c r="V425" s="9"/>
    </row>
    <row r="426" spans="4:22" x14ac:dyDescent="0.35">
      <c r="D426" s="6"/>
      <c r="V426" s="9"/>
    </row>
    <row r="427" spans="4:22" x14ac:dyDescent="0.35">
      <c r="D427" s="6"/>
      <c r="V427" s="9"/>
    </row>
    <row r="428" spans="4:22" x14ac:dyDescent="0.35">
      <c r="D428" s="6"/>
      <c r="V428" s="9"/>
    </row>
    <row r="429" spans="4:22" x14ac:dyDescent="0.35">
      <c r="D429" s="6"/>
      <c r="V429" s="9"/>
    </row>
    <row r="430" spans="4:22" x14ac:dyDescent="0.35">
      <c r="D430" s="6"/>
      <c r="V430" s="9"/>
    </row>
    <row r="431" spans="4:22" x14ac:dyDescent="0.35">
      <c r="D431" s="6"/>
      <c r="V431" s="9"/>
    </row>
    <row r="432" spans="4:22" x14ac:dyDescent="0.35">
      <c r="D432" s="6"/>
      <c r="V432" s="9"/>
    </row>
    <row r="433" spans="4:22" x14ac:dyDescent="0.35">
      <c r="D433" s="6"/>
      <c r="V433" s="9"/>
    </row>
    <row r="434" spans="4:22" x14ac:dyDescent="0.35">
      <c r="D434" s="6"/>
      <c r="V434" s="9"/>
    </row>
    <row r="435" spans="4:22" x14ac:dyDescent="0.35">
      <c r="D435" s="6"/>
      <c r="V435" s="9"/>
    </row>
    <row r="436" spans="4:22" x14ac:dyDescent="0.35">
      <c r="D436" s="6"/>
      <c r="V436" s="9"/>
    </row>
    <row r="437" spans="4:22" x14ac:dyDescent="0.35">
      <c r="D437" s="6"/>
      <c r="G437" s="1"/>
      <c r="V437" s="9"/>
    </row>
    <row r="438" spans="4:22" x14ac:dyDescent="0.35">
      <c r="D438" s="6"/>
      <c r="V438" s="9"/>
    </row>
    <row r="439" spans="4:22" x14ac:dyDescent="0.35">
      <c r="D439" s="6"/>
      <c r="V439" s="9"/>
    </row>
    <row r="440" spans="4:22" x14ac:dyDescent="0.35">
      <c r="D440" s="6"/>
      <c r="V440" s="9"/>
    </row>
    <row r="441" spans="4:22" x14ac:dyDescent="0.35">
      <c r="D441" s="6"/>
      <c r="V441" s="9"/>
    </row>
    <row r="442" spans="4:22" x14ac:dyDescent="0.35">
      <c r="D442" s="6"/>
      <c r="V442" s="9"/>
    </row>
    <row r="443" spans="4:22" x14ac:dyDescent="0.35">
      <c r="D443" s="6"/>
      <c r="V443" s="9"/>
    </row>
    <row r="444" spans="4:22" x14ac:dyDescent="0.35">
      <c r="D444" s="6"/>
      <c r="V444" s="9"/>
    </row>
    <row r="445" spans="4:22" x14ac:dyDescent="0.35">
      <c r="D445" s="6"/>
      <c r="V445" s="9"/>
    </row>
    <row r="446" spans="4:22" x14ac:dyDescent="0.35">
      <c r="D446" s="6"/>
      <c r="V446" s="9"/>
    </row>
    <row r="447" spans="4:22" x14ac:dyDescent="0.35">
      <c r="D447" s="6"/>
      <c r="V447" s="9"/>
    </row>
    <row r="448" spans="4:22" x14ac:dyDescent="0.35">
      <c r="D448" s="6"/>
      <c r="V448" s="9"/>
    </row>
    <row r="449" spans="4:22" x14ac:dyDescent="0.35">
      <c r="D449" s="6"/>
      <c r="V449" s="9"/>
    </row>
    <row r="450" spans="4:22" x14ac:dyDescent="0.35">
      <c r="D450" s="6"/>
      <c r="V450" s="9"/>
    </row>
    <row r="451" spans="4:22" x14ac:dyDescent="0.35">
      <c r="D451" s="6"/>
      <c r="V451" s="9"/>
    </row>
    <row r="452" spans="4:22" x14ac:dyDescent="0.35">
      <c r="D452" s="6"/>
      <c r="V452" s="9"/>
    </row>
    <row r="453" spans="4:22" x14ac:dyDescent="0.35">
      <c r="D453" s="6"/>
      <c r="V453" s="9"/>
    </row>
    <row r="454" spans="4:22" x14ac:dyDescent="0.35">
      <c r="D454" s="6"/>
      <c r="V454" s="9"/>
    </row>
    <row r="455" spans="4:22" x14ac:dyDescent="0.35">
      <c r="D455" s="6"/>
      <c r="G455" s="1"/>
      <c r="V455" s="9"/>
    </row>
    <row r="456" spans="4:22" x14ac:dyDescent="0.35">
      <c r="D456" s="6"/>
      <c r="G456" s="1"/>
      <c r="V456" s="9"/>
    </row>
    <row r="457" spans="4:22" x14ac:dyDescent="0.35">
      <c r="D457" s="6"/>
      <c r="G457" s="1"/>
      <c r="V457" s="9"/>
    </row>
    <row r="458" spans="4:22" x14ac:dyDescent="0.35">
      <c r="D458" s="6"/>
      <c r="V458" s="9"/>
    </row>
    <row r="459" spans="4:22" x14ac:dyDescent="0.35">
      <c r="D459" s="6"/>
      <c r="V459" s="9"/>
    </row>
    <row r="460" spans="4:22" x14ac:dyDescent="0.35">
      <c r="D460" s="6"/>
      <c r="V460" s="9"/>
    </row>
    <row r="461" spans="4:22" x14ac:dyDescent="0.35">
      <c r="D461" s="6"/>
      <c r="V461" s="9"/>
    </row>
    <row r="462" spans="4:22" x14ac:dyDescent="0.35">
      <c r="D462" s="6"/>
      <c r="V462" s="9"/>
    </row>
    <row r="463" spans="4:22" x14ac:dyDescent="0.35">
      <c r="D463" s="6"/>
      <c r="V463" s="9"/>
    </row>
    <row r="464" spans="4:22" x14ac:dyDescent="0.35">
      <c r="D464" s="6"/>
      <c r="V464" s="9"/>
    </row>
    <row r="465" spans="4:22" x14ac:dyDescent="0.35">
      <c r="D465" s="6"/>
      <c r="V465" s="9"/>
    </row>
    <row r="466" spans="4:22" x14ac:dyDescent="0.35">
      <c r="D466" s="6"/>
      <c r="V466" s="9"/>
    </row>
    <row r="467" spans="4:22" x14ac:dyDescent="0.35">
      <c r="D467" s="6"/>
      <c r="V467" s="9"/>
    </row>
    <row r="468" spans="4:22" x14ac:dyDescent="0.35">
      <c r="D468" s="6"/>
      <c r="V468" s="9"/>
    </row>
    <row r="469" spans="4:22" x14ac:dyDescent="0.35">
      <c r="D469" s="6"/>
      <c r="V469" s="9"/>
    </row>
    <row r="470" spans="4:22" x14ac:dyDescent="0.35">
      <c r="D470" s="6"/>
      <c r="V470" s="9"/>
    </row>
    <row r="471" spans="4:22" x14ac:dyDescent="0.35">
      <c r="D471" s="6"/>
      <c r="V471" s="9"/>
    </row>
    <row r="472" spans="4:22" x14ac:dyDescent="0.35">
      <c r="D472" s="6"/>
      <c r="V472" s="9"/>
    </row>
    <row r="473" spans="4:22" x14ac:dyDescent="0.35">
      <c r="D473" s="6"/>
      <c r="V473" s="9"/>
    </row>
    <row r="474" spans="4:22" x14ac:dyDescent="0.35">
      <c r="D474" s="6"/>
      <c r="V474" s="9"/>
    </row>
    <row r="475" spans="4:22" x14ac:dyDescent="0.35">
      <c r="D475" s="6"/>
      <c r="V475" s="9"/>
    </row>
    <row r="476" spans="4:22" x14ac:dyDescent="0.35">
      <c r="D476" s="6"/>
      <c r="V476" s="9"/>
    </row>
    <row r="477" spans="4:22" x14ac:dyDescent="0.35">
      <c r="D477" s="6"/>
      <c r="V477" s="9"/>
    </row>
    <row r="478" spans="4:22" x14ac:dyDescent="0.35">
      <c r="D478" s="6"/>
      <c r="V478" s="9"/>
    </row>
    <row r="479" spans="4:22" x14ac:dyDescent="0.35">
      <c r="D479" s="6"/>
      <c r="V479" s="9"/>
    </row>
    <row r="480" spans="4:22" x14ac:dyDescent="0.35">
      <c r="D480" s="6"/>
      <c r="V480" s="9"/>
    </row>
    <row r="481" spans="4:22" x14ac:dyDescent="0.35">
      <c r="D481" s="6"/>
      <c r="V481" s="9"/>
    </row>
    <row r="482" spans="4:22" x14ac:dyDescent="0.35">
      <c r="D482" s="6"/>
      <c r="V482" s="9"/>
    </row>
    <row r="483" spans="4:22" x14ac:dyDescent="0.35">
      <c r="D483" s="6"/>
      <c r="V483" s="9"/>
    </row>
    <row r="484" spans="4:22" x14ac:dyDescent="0.35">
      <c r="D484" s="6"/>
      <c r="V484" s="9"/>
    </row>
    <row r="485" spans="4:22" x14ac:dyDescent="0.35">
      <c r="D485" s="6"/>
      <c r="V485" s="9"/>
    </row>
    <row r="486" spans="4:22" x14ac:dyDescent="0.35">
      <c r="D486" s="6"/>
      <c r="V486" s="9"/>
    </row>
    <row r="487" spans="4:22" x14ac:dyDescent="0.35">
      <c r="D487" s="6"/>
      <c r="V487" s="9"/>
    </row>
    <row r="488" spans="4:22" x14ac:dyDescent="0.35">
      <c r="D488" s="6"/>
      <c r="G488" s="1"/>
      <c r="V488" s="9"/>
    </row>
    <row r="489" spans="4:22" x14ac:dyDescent="0.35">
      <c r="D489" s="6"/>
      <c r="G489" s="1"/>
      <c r="V489" s="9"/>
    </row>
    <row r="490" spans="4:22" x14ac:dyDescent="0.35">
      <c r="D490" s="6"/>
      <c r="V490" s="9"/>
    </row>
    <row r="491" spans="4:22" x14ac:dyDescent="0.35">
      <c r="D491" s="6"/>
      <c r="V491" s="9"/>
    </row>
    <row r="492" spans="4:22" x14ac:dyDescent="0.35">
      <c r="D492" s="6"/>
      <c r="V492" s="9"/>
    </row>
    <row r="493" spans="4:22" x14ac:dyDescent="0.35">
      <c r="D493" s="6"/>
      <c r="V493" s="9"/>
    </row>
    <row r="494" spans="4:22" x14ac:dyDescent="0.35">
      <c r="D494" s="6"/>
      <c r="V494" s="9"/>
    </row>
    <row r="495" spans="4:22" x14ac:dyDescent="0.35">
      <c r="D495" s="6"/>
      <c r="V495" s="9"/>
    </row>
    <row r="496" spans="4:22" x14ac:dyDescent="0.35">
      <c r="D496" s="6"/>
      <c r="V496" s="9"/>
    </row>
    <row r="497" spans="4:22" x14ac:dyDescent="0.35">
      <c r="D497" s="6"/>
      <c r="V497" s="9"/>
    </row>
    <row r="498" spans="4:22" x14ac:dyDescent="0.35">
      <c r="D498" s="6"/>
      <c r="V498" s="9"/>
    </row>
    <row r="499" spans="4:22" x14ac:dyDescent="0.35">
      <c r="D499" s="6"/>
      <c r="V499" s="9"/>
    </row>
    <row r="500" spans="4:22" x14ac:dyDescent="0.35">
      <c r="D500" s="6"/>
      <c r="V500" s="9"/>
    </row>
    <row r="501" spans="4:22" x14ac:dyDescent="0.35">
      <c r="D501" s="6"/>
      <c r="V501" s="9"/>
    </row>
    <row r="502" spans="4:22" x14ac:dyDescent="0.35">
      <c r="D502" s="6"/>
      <c r="V502" s="9"/>
    </row>
    <row r="503" spans="4:22" x14ac:dyDescent="0.35">
      <c r="D503" s="6"/>
      <c r="V503" s="9"/>
    </row>
    <row r="504" spans="4:22" x14ac:dyDescent="0.35">
      <c r="D504" s="6"/>
      <c r="V504" s="9"/>
    </row>
    <row r="505" spans="4:22" x14ac:dyDescent="0.35">
      <c r="D505" s="6"/>
      <c r="V505" s="9"/>
    </row>
    <row r="506" spans="4:22" x14ac:dyDescent="0.35">
      <c r="D506" s="6"/>
      <c r="V506" s="9"/>
    </row>
    <row r="507" spans="4:22" x14ac:dyDescent="0.35">
      <c r="D507" s="6"/>
      <c r="V507" s="9"/>
    </row>
    <row r="508" spans="4:22" x14ac:dyDescent="0.35">
      <c r="D508" s="6"/>
      <c r="V508" s="9"/>
    </row>
    <row r="509" spans="4:22" x14ac:dyDescent="0.35">
      <c r="D509" s="6"/>
      <c r="V509" s="9"/>
    </row>
    <row r="510" spans="4:22" x14ac:dyDescent="0.35">
      <c r="D510" s="6"/>
      <c r="V510" s="9"/>
    </row>
    <row r="511" spans="4:22" x14ac:dyDescent="0.35">
      <c r="D511" s="6"/>
      <c r="V511" s="9"/>
    </row>
    <row r="512" spans="4:22" x14ac:dyDescent="0.35">
      <c r="D512" s="6"/>
      <c r="V512" s="9"/>
    </row>
    <row r="513" spans="4:22" x14ac:dyDescent="0.35">
      <c r="D513" s="6"/>
      <c r="V513" s="9"/>
    </row>
    <row r="514" spans="4:22" x14ac:dyDescent="0.35">
      <c r="D514" s="6"/>
      <c r="V514" s="9"/>
    </row>
    <row r="515" spans="4:22" x14ac:dyDescent="0.35">
      <c r="D515" s="6"/>
      <c r="V515" s="9"/>
    </row>
    <row r="516" spans="4:22" x14ac:dyDescent="0.35">
      <c r="D516" s="6"/>
      <c r="V516" s="9"/>
    </row>
    <row r="517" spans="4:22" x14ac:dyDescent="0.35">
      <c r="D517" s="6"/>
      <c r="V517" s="9"/>
    </row>
    <row r="518" spans="4:22" x14ac:dyDescent="0.35">
      <c r="D518" s="6"/>
      <c r="V518" s="9"/>
    </row>
    <row r="519" spans="4:22" x14ac:dyDescent="0.35">
      <c r="D519" s="6"/>
    </row>
    <row r="520" spans="4:22" x14ac:dyDescent="0.35">
      <c r="D520" s="6"/>
    </row>
    <row r="521" spans="4:22" x14ac:dyDescent="0.35">
      <c r="D521" s="6"/>
    </row>
    <row r="522" spans="4:22" x14ac:dyDescent="0.35">
      <c r="D522" s="6"/>
    </row>
    <row r="523" spans="4:22" x14ac:dyDescent="0.35">
      <c r="D523" s="6"/>
    </row>
    <row r="524" spans="4:22" x14ac:dyDescent="0.35">
      <c r="D524" s="6"/>
    </row>
    <row r="525" spans="4:22" x14ac:dyDescent="0.35">
      <c r="D525" s="6"/>
    </row>
    <row r="526" spans="4:22" x14ac:dyDescent="0.35">
      <c r="D526" s="6"/>
    </row>
    <row r="527" spans="4:22" x14ac:dyDescent="0.35">
      <c r="D527" s="6"/>
    </row>
    <row r="528" spans="4:22" x14ac:dyDescent="0.35">
      <c r="D528" s="6"/>
    </row>
    <row r="529" spans="4:22" x14ac:dyDescent="0.35">
      <c r="D529" s="6"/>
    </row>
    <row r="530" spans="4:22" x14ac:dyDescent="0.35">
      <c r="D530" s="6"/>
    </row>
    <row r="531" spans="4:22" x14ac:dyDescent="0.35">
      <c r="D531" s="6"/>
      <c r="V531" s="9"/>
    </row>
    <row r="532" spans="4:22" x14ac:dyDescent="0.35">
      <c r="D532" s="6"/>
      <c r="V532" s="9"/>
    </row>
    <row r="533" spans="4:22" x14ac:dyDescent="0.35">
      <c r="D533" s="6"/>
      <c r="V533" s="9"/>
    </row>
    <row r="534" spans="4:22" x14ac:dyDescent="0.35">
      <c r="D534" s="6"/>
      <c r="V534" s="9"/>
    </row>
    <row r="535" spans="4:22" x14ac:dyDescent="0.35">
      <c r="D535" s="6"/>
      <c r="V535" s="9"/>
    </row>
    <row r="536" spans="4:22" x14ac:dyDescent="0.35">
      <c r="D536" s="6"/>
      <c r="V536" s="9"/>
    </row>
    <row r="537" spans="4:22" x14ac:dyDescent="0.35">
      <c r="D537" s="6"/>
      <c r="V537" s="9"/>
    </row>
    <row r="538" spans="4:22" x14ac:dyDescent="0.35">
      <c r="D538" s="6"/>
      <c r="V538" s="9"/>
    </row>
    <row r="539" spans="4:22" x14ac:dyDescent="0.35">
      <c r="D539" s="6"/>
      <c r="V539" s="9"/>
    </row>
    <row r="540" spans="4:22" x14ac:dyDescent="0.35">
      <c r="D540" s="6"/>
      <c r="V540" s="9"/>
    </row>
    <row r="541" spans="4:22" x14ac:dyDescent="0.35">
      <c r="D541" s="6"/>
      <c r="V541" s="9"/>
    </row>
    <row r="542" spans="4:22" x14ac:dyDescent="0.35">
      <c r="D542" s="6"/>
      <c r="V542" s="9"/>
    </row>
    <row r="543" spans="4:22" x14ac:dyDescent="0.35">
      <c r="D543" s="6"/>
      <c r="V543" s="9"/>
    </row>
    <row r="544" spans="4:22" x14ac:dyDescent="0.35">
      <c r="D544" s="6"/>
      <c r="V544" s="9"/>
    </row>
    <row r="545" spans="4:22" x14ac:dyDescent="0.35">
      <c r="D545" s="6"/>
      <c r="V545" s="9"/>
    </row>
    <row r="546" spans="4:22" x14ac:dyDescent="0.35">
      <c r="D546" s="6"/>
      <c r="V546" s="9"/>
    </row>
    <row r="547" spans="4:22" x14ac:dyDescent="0.35">
      <c r="D547" s="6"/>
      <c r="V547" s="9"/>
    </row>
    <row r="548" spans="4:22" x14ac:dyDescent="0.35">
      <c r="D548" s="6"/>
      <c r="V548" s="9"/>
    </row>
    <row r="549" spans="4:22" x14ac:dyDescent="0.35">
      <c r="D549" s="6"/>
      <c r="V549" s="9"/>
    </row>
    <row r="550" spans="4:22" x14ac:dyDescent="0.35">
      <c r="D550" s="6"/>
      <c r="V550" s="9"/>
    </row>
    <row r="551" spans="4:22" x14ac:dyDescent="0.35">
      <c r="D551" s="6"/>
      <c r="V551" s="9"/>
    </row>
    <row r="552" spans="4:22" x14ac:dyDescent="0.35">
      <c r="D552" s="6"/>
      <c r="V552" s="9"/>
    </row>
    <row r="553" spans="4:22" x14ac:dyDescent="0.35">
      <c r="D553" s="6"/>
      <c r="V553" s="9"/>
    </row>
    <row r="554" spans="4:22" x14ac:dyDescent="0.35">
      <c r="D554" s="6"/>
      <c r="V554" s="9"/>
    </row>
    <row r="555" spans="4:22" x14ac:dyDescent="0.35">
      <c r="D555" s="6"/>
      <c r="V555" s="9"/>
    </row>
    <row r="556" spans="4:22" x14ac:dyDescent="0.35">
      <c r="D556" s="6"/>
      <c r="V556" s="9"/>
    </row>
    <row r="557" spans="4:22" x14ac:dyDescent="0.35">
      <c r="D557" s="6"/>
      <c r="V557" s="9"/>
    </row>
    <row r="558" spans="4:22" x14ac:dyDescent="0.35">
      <c r="D558" s="6"/>
      <c r="V558" s="9"/>
    </row>
    <row r="559" spans="4:22" x14ac:dyDescent="0.35">
      <c r="D559" s="6"/>
      <c r="V559" s="9"/>
    </row>
    <row r="560" spans="4:22" x14ac:dyDescent="0.35">
      <c r="D560" s="6"/>
      <c r="V560" s="9"/>
    </row>
    <row r="561" spans="4:22" x14ac:dyDescent="0.35">
      <c r="D561" s="6"/>
      <c r="V561" s="9"/>
    </row>
    <row r="562" spans="4:22" x14ac:dyDescent="0.35">
      <c r="D562" s="6"/>
      <c r="V562" s="9"/>
    </row>
    <row r="563" spans="4:22" x14ac:dyDescent="0.35">
      <c r="D563" s="6"/>
      <c r="V563" s="9"/>
    </row>
    <row r="564" spans="4:22" x14ac:dyDescent="0.35">
      <c r="D564" s="6"/>
      <c r="V564" s="9"/>
    </row>
    <row r="565" spans="4:22" x14ac:dyDescent="0.35">
      <c r="D565" s="6"/>
      <c r="V565" s="9"/>
    </row>
    <row r="566" spans="4:22" x14ac:dyDescent="0.35">
      <c r="D566" s="6"/>
      <c r="V566" s="9"/>
    </row>
    <row r="567" spans="4:22" x14ac:dyDescent="0.35">
      <c r="D567" s="6"/>
      <c r="V567" s="9"/>
    </row>
    <row r="568" spans="4:22" x14ac:dyDescent="0.35">
      <c r="D568" s="6"/>
      <c r="V568" s="9"/>
    </row>
    <row r="569" spans="4:22" x14ac:dyDescent="0.35">
      <c r="D569" s="6"/>
      <c r="V569" s="9"/>
    </row>
    <row r="570" spans="4:22" x14ac:dyDescent="0.35">
      <c r="D570" s="6"/>
      <c r="V570" s="9"/>
    </row>
    <row r="571" spans="4:22" x14ac:dyDescent="0.35">
      <c r="D571" s="6"/>
      <c r="V571" s="9"/>
    </row>
    <row r="572" spans="4:22" x14ac:dyDescent="0.35">
      <c r="D572" s="6"/>
      <c r="V572" s="9"/>
    </row>
    <row r="573" spans="4:22" x14ac:dyDescent="0.35">
      <c r="D573" s="6"/>
      <c r="V573" s="9"/>
    </row>
    <row r="574" spans="4:22" x14ac:dyDescent="0.35">
      <c r="D574" s="6"/>
      <c r="V574" s="9"/>
    </row>
    <row r="575" spans="4:22" x14ac:dyDescent="0.35">
      <c r="D575" s="6"/>
      <c r="V575" s="9"/>
    </row>
    <row r="576" spans="4:22" x14ac:dyDescent="0.35">
      <c r="D576" s="6"/>
      <c r="V576" s="9"/>
    </row>
    <row r="577" spans="4:22" x14ac:dyDescent="0.35">
      <c r="D577" s="6"/>
      <c r="V577" s="9"/>
    </row>
    <row r="578" spans="4:22" x14ac:dyDescent="0.35">
      <c r="D578" s="6"/>
      <c r="V578" s="9"/>
    </row>
    <row r="579" spans="4:22" x14ac:dyDescent="0.35">
      <c r="D579" s="6"/>
      <c r="V579" s="9"/>
    </row>
    <row r="580" spans="4:22" x14ac:dyDescent="0.35">
      <c r="D580" s="6"/>
      <c r="V580" s="9"/>
    </row>
    <row r="581" spans="4:22" x14ac:dyDescent="0.35">
      <c r="D581" s="6"/>
      <c r="V581" s="9"/>
    </row>
    <row r="582" spans="4:22" x14ac:dyDescent="0.35">
      <c r="D582" s="6"/>
      <c r="V582" s="9"/>
    </row>
    <row r="583" spans="4:22" x14ac:dyDescent="0.35">
      <c r="D583" s="6"/>
      <c r="V583" s="9"/>
    </row>
    <row r="584" spans="4:22" x14ac:dyDescent="0.35">
      <c r="D584" s="6"/>
      <c r="V584" s="9"/>
    </row>
    <row r="585" spans="4:22" x14ac:dyDescent="0.35">
      <c r="D585" s="6"/>
      <c r="V585" s="9"/>
    </row>
    <row r="586" spans="4:22" x14ac:dyDescent="0.35">
      <c r="D586" s="6"/>
      <c r="V586" s="9"/>
    </row>
    <row r="587" spans="4:22" x14ac:dyDescent="0.35">
      <c r="D587" s="6"/>
      <c r="V587" s="9"/>
    </row>
    <row r="588" spans="4:22" x14ac:dyDescent="0.35">
      <c r="D588" s="6"/>
      <c r="V588" s="9"/>
    </row>
    <row r="589" spans="4:22" x14ac:dyDescent="0.35">
      <c r="D589" s="6"/>
      <c r="V589" s="9"/>
    </row>
    <row r="590" spans="4:22" x14ac:dyDescent="0.35">
      <c r="D590" s="6"/>
      <c r="V590" s="9"/>
    </row>
    <row r="591" spans="4:22" x14ac:dyDescent="0.35">
      <c r="D591" s="6"/>
      <c r="V591" s="9"/>
    </row>
    <row r="592" spans="4:22" x14ac:dyDescent="0.35">
      <c r="D592" s="6"/>
      <c r="V592" s="9"/>
    </row>
    <row r="593" spans="4:22" x14ac:dyDescent="0.35">
      <c r="D593" s="6"/>
      <c r="V593" s="9"/>
    </row>
    <row r="594" spans="4:22" x14ac:dyDescent="0.35">
      <c r="D594" s="6"/>
      <c r="V594" s="9"/>
    </row>
    <row r="595" spans="4:22" x14ac:dyDescent="0.35">
      <c r="D595" s="6"/>
      <c r="V595" s="9"/>
    </row>
    <row r="596" spans="4:22" x14ac:dyDescent="0.35">
      <c r="D596" s="6"/>
      <c r="V596" s="9"/>
    </row>
    <row r="597" spans="4:22" x14ac:dyDescent="0.35">
      <c r="D597" s="6"/>
      <c r="V597" s="9"/>
    </row>
    <row r="598" spans="4:22" x14ac:dyDescent="0.35">
      <c r="D598" s="6"/>
      <c r="V598" s="9"/>
    </row>
    <row r="599" spans="4:22" x14ac:dyDescent="0.35">
      <c r="D599" s="6"/>
      <c r="V599" s="9"/>
    </row>
    <row r="600" spans="4:22" x14ac:dyDescent="0.35">
      <c r="D600" s="6"/>
      <c r="V600" s="9"/>
    </row>
    <row r="601" spans="4:22" x14ac:dyDescent="0.35">
      <c r="D601" s="6"/>
      <c r="V601" s="9"/>
    </row>
    <row r="602" spans="4:22" x14ac:dyDescent="0.35">
      <c r="D602" s="6"/>
      <c r="V602" s="9"/>
    </row>
    <row r="603" spans="4:22" x14ac:dyDescent="0.35">
      <c r="D603" s="6"/>
      <c r="V603" s="9"/>
    </row>
    <row r="604" spans="4:22" x14ac:dyDescent="0.35">
      <c r="D604" s="6"/>
      <c r="V604" s="9"/>
    </row>
    <row r="605" spans="4:22" x14ac:dyDescent="0.35">
      <c r="D605" s="6"/>
      <c r="V605" s="9"/>
    </row>
    <row r="606" spans="4:22" x14ac:dyDescent="0.35">
      <c r="D606" s="6"/>
      <c r="V606" s="9"/>
    </row>
    <row r="607" spans="4:22" x14ac:dyDescent="0.35">
      <c r="D607" s="6"/>
      <c r="V607" s="9"/>
    </row>
    <row r="608" spans="4:22" x14ac:dyDescent="0.35">
      <c r="D608" s="6"/>
      <c r="V608" s="9"/>
    </row>
    <row r="609" spans="4:22" x14ac:dyDescent="0.35">
      <c r="D609" s="6"/>
      <c r="V609" s="9"/>
    </row>
    <row r="610" spans="4:22" x14ac:dyDescent="0.35">
      <c r="D610" s="6"/>
      <c r="V610" s="9"/>
    </row>
    <row r="611" spans="4:22" x14ac:dyDescent="0.35">
      <c r="D611" s="6"/>
      <c r="V611" s="9"/>
    </row>
    <row r="612" spans="4:22" x14ac:dyDescent="0.35">
      <c r="D612" s="6"/>
      <c r="V612" s="9"/>
    </row>
    <row r="613" spans="4:22" x14ac:dyDescent="0.35">
      <c r="D613" s="6"/>
      <c r="V613" s="9"/>
    </row>
    <row r="614" spans="4:22" x14ac:dyDescent="0.35">
      <c r="D614" s="6"/>
      <c r="V614" s="9"/>
    </row>
    <row r="615" spans="4:22" x14ac:dyDescent="0.35">
      <c r="D615" s="6"/>
      <c r="V615" s="9"/>
    </row>
    <row r="616" spans="4:22" x14ac:dyDescent="0.35">
      <c r="D616" s="6"/>
      <c r="V616" s="9"/>
    </row>
    <row r="617" spans="4:22" x14ac:dyDescent="0.35">
      <c r="D617" s="6"/>
      <c r="V617" s="9"/>
    </row>
    <row r="618" spans="4:22" x14ac:dyDescent="0.35">
      <c r="D618" s="6"/>
      <c r="V618" s="9"/>
    </row>
    <row r="619" spans="4:22" x14ac:dyDescent="0.35">
      <c r="D619" s="6"/>
      <c r="V619" s="9"/>
    </row>
    <row r="620" spans="4:22" x14ac:dyDescent="0.35">
      <c r="D620" s="6"/>
      <c r="V620" s="9"/>
    </row>
    <row r="621" spans="4:22" x14ac:dyDescent="0.35">
      <c r="D621" s="6"/>
      <c r="V621" s="9"/>
    </row>
    <row r="622" spans="4:22" x14ac:dyDescent="0.35">
      <c r="D622" s="6"/>
      <c r="V622" s="9"/>
    </row>
    <row r="623" spans="4:22" x14ac:dyDescent="0.35">
      <c r="D623" s="6"/>
      <c r="V623" s="9"/>
    </row>
    <row r="624" spans="4:22" x14ac:dyDescent="0.35">
      <c r="D624" s="6"/>
      <c r="V624" s="9"/>
    </row>
    <row r="625" spans="4:22" x14ac:dyDescent="0.35">
      <c r="D625" s="6"/>
      <c r="V625" s="9"/>
    </row>
    <row r="626" spans="4:22" x14ac:dyDescent="0.35">
      <c r="D626" s="6"/>
      <c r="V626" s="9"/>
    </row>
    <row r="627" spans="4:22" x14ac:dyDescent="0.35">
      <c r="D627" s="6"/>
      <c r="V627" s="9"/>
    </row>
    <row r="628" spans="4:22" x14ac:dyDescent="0.35">
      <c r="D628" s="6"/>
      <c r="V628" s="9"/>
    </row>
    <row r="629" spans="4:22" x14ac:dyDescent="0.35">
      <c r="D629" s="6"/>
      <c r="V629" s="9"/>
    </row>
    <row r="630" spans="4:22" x14ac:dyDescent="0.35">
      <c r="D630" s="6"/>
      <c r="V630" s="9"/>
    </row>
    <row r="631" spans="4:22" x14ac:dyDescent="0.35">
      <c r="D631" s="6"/>
      <c r="V631" s="9"/>
    </row>
    <row r="632" spans="4:22" x14ac:dyDescent="0.35">
      <c r="D632" s="6"/>
      <c r="V632" s="9"/>
    </row>
    <row r="633" spans="4:22" x14ac:dyDescent="0.35">
      <c r="D633" s="6"/>
      <c r="V633" s="9"/>
    </row>
    <row r="634" spans="4:22" x14ac:dyDescent="0.35">
      <c r="D634" s="6"/>
      <c r="V634" s="9"/>
    </row>
    <row r="635" spans="4:22" x14ac:dyDescent="0.35">
      <c r="D635" s="6"/>
      <c r="V635" s="9"/>
    </row>
    <row r="636" spans="4:22" x14ac:dyDescent="0.35">
      <c r="D636" s="6"/>
      <c r="V636" s="9"/>
    </row>
    <row r="637" spans="4:22" x14ac:dyDescent="0.35">
      <c r="D637" s="6"/>
      <c r="V637" s="9"/>
    </row>
    <row r="638" spans="4:22" x14ac:dyDescent="0.35">
      <c r="D638" s="6"/>
      <c r="V638" s="9"/>
    </row>
    <row r="639" spans="4:22" x14ac:dyDescent="0.35">
      <c r="D639" s="6"/>
      <c r="V639" s="9"/>
    </row>
    <row r="640" spans="4:22" x14ac:dyDescent="0.35">
      <c r="D640" s="6"/>
      <c r="V640" s="9"/>
    </row>
    <row r="641" spans="4:22" x14ac:dyDescent="0.35">
      <c r="D641" s="6"/>
      <c r="V641" s="9"/>
    </row>
    <row r="642" spans="4:22" x14ac:dyDescent="0.35">
      <c r="D642" s="6"/>
      <c r="V642" s="9"/>
    </row>
    <row r="643" spans="4:22" x14ac:dyDescent="0.35">
      <c r="D643" s="6"/>
      <c r="V643" s="9"/>
    </row>
    <row r="644" spans="4:22" x14ac:dyDescent="0.35">
      <c r="D644" s="6"/>
      <c r="V644" s="9"/>
    </row>
    <row r="645" spans="4:22" x14ac:dyDescent="0.35">
      <c r="D645" s="6"/>
      <c r="V645" s="9"/>
    </row>
    <row r="646" spans="4:22" x14ac:dyDescent="0.35">
      <c r="D646" s="6"/>
      <c r="V646" s="9"/>
    </row>
    <row r="647" spans="4:22" x14ac:dyDescent="0.35">
      <c r="D647" s="6"/>
      <c r="V647" s="9"/>
    </row>
    <row r="648" spans="4:22" x14ac:dyDescent="0.35">
      <c r="D648" s="6"/>
      <c r="V648" s="9"/>
    </row>
    <row r="649" spans="4:22" x14ac:dyDescent="0.35">
      <c r="D649" s="6"/>
      <c r="V649" s="9"/>
    </row>
    <row r="650" spans="4:22" x14ac:dyDescent="0.35">
      <c r="D650" s="6"/>
      <c r="V650" s="9"/>
    </row>
    <row r="651" spans="4:22" x14ac:dyDescent="0.35">
      <c r="D651" s="6"/>
      <c r="V651" s="9"/>
    </row>
    <row r="652" spans="4:22" x14ac:dyDescent="0.35">
      <c r="D652" s="6"/>
      <c r="V652" s="9"/>
    </row>
    <row r="653" spans="4:22" x14ac:dyDescent="0.35">
      <c r="D653" s="6"/>
      <c r="V653" s="9"/>
    </row>
    <row r="654" spans="4:22" x14ac:dyDescent="0.35">
      <c r="D654" s="6"/>
      <c r="V654" s="9"/>
    </row>
    <row r="655" spans="4:22" x14ac:dyDescent="0.35">
      <c r="D655" s="6"/>
      <c r="V655" s="9"/>
    </row>
    <row r="656" spans="4:22" x14ac:dyDescent="0.35">
      <c r="D656" s="6"/>
      <c r="V656" s="9"/>
    </row>
    <row r="657" spans="4:22" x14ac:dyDescent="0.35">
      <c r="D657" s="6"/>
      <c r="V657" s="9"/>
    </row>
    <row r="658" spans="4:22" x14ac:dyDescent="0.35">
      <c r="D658" s="6"/>
      <c r="V658" s="9"/>
    </row>
    <row r="659" spans="4:22" x14ac:dyDescent="0.35">
      <c r="D659" s="6"/>
      <c r="V659" s="9"/>
    </row>
    <row r="660" spans="4:22" x14ac:dyDescent="0.35">
      <c r="D660" s="6"/>
      <c r="V660" s="9"/>
    </row>
    <row r="661" spans="4:22" x14ac:dyDescent="0.35">
      <c r="D661" s="6"/>
      <c r="V661" s="9"/>
    </row>
    <row r="662" spans="4:22" x14ac:dyDescent="0.35">
      <c r="D662" s="6"/>
      <c r="V662" s="9"/>
    </row>
    <row r="663" spans="4:22" x14ac:dyDescent="0.35">
      <c r="D663" s="6"/>
      <c r="V663" s="9"/>
    </row>
    <row r="664" spans="4:22" x14ac:dyDescent="0.35">
      <c r="D664" s="6"/>
    </row>
    <row r="665" spans="4:22" x14ac:dyDescent="0.35">
      <c r="D665" s="6"/>
    </row>
    <row r="666" spans="4:22" x14ac:dyDescent="0.35">
      <c r="D666" s="6"/>
    </row>
    <row r="667" spans="4:22" x14ac:dyDescent="0.35">
      <c r="D667" s="6"/>
    </row>
    <row r="668" spans="4:22" x14ac:dyDescent="0.35">
      <c r="D668" s="6"/>
    </row>
    <row r="669" spans="4:22" x14ac:dyDescent="0.35">
      <c r="D669" s="6"/>
    </row>
    <row r="670" spans="4:22" x14ac:dyDescent="0.35">
      <c r="D670" s="6"/>
    </row>
    <row r="671" spans="4:22" x14ac:dyDescent="0.35">
      <c r="D671" s="6"/>
    </row>
    <row r="672" spans="4:22" x14ac:dyDescent="0.35">
      <c r="D672" s="6"/>
    </row>
    <row r="673" spans="4:4" x14ac:dyDescent="0.35">
      <c r="D673" s="6"/>
    </row>
    <row r="674" spans="4:4" x14ac:dyDescent="0.35">
      <c r="D674" s="6"/>
    </row>
    <row r="675" spans="4:4" x14ac:dyDescent="0.35">
      <c r="D675" s="6"/>
    </row>
    <row r="676" spans="4:4" x14ac:dyDescent="0.35">
      <c r="D676" s="6"/>
    </row>
    <row r="677" spans="4:4" x14ac:dyDescent="0.35">
      <c r="D677" s="6"/>
    </row>
    <row r="678" spans="4:4" x14ac:dyDescent="0.35">
      <c r="D678" s="6"/>
    </row>
    <row r="679" spans="4:4" x14ac:dyDescent="0.35">
      <c r="D679" s="6"/>
    </row>
    <row r="680" spans="4:4" x14ac:dyDescent="0.35">
      <c r="D680" s="6"/>
    </row>
    <row r="681" spans="4:4" x14ac:dyDescent="0.35">
      <c r="D681" s="6"/>
    </row>
    <row r="682" spans="4:4" x14ac:dyDescent="0.35">
      <c r="D682" s="6"/>
    </row>
    <row r="683" spans="4:4" x14ac:dyDescent="0.35">
      <c r="D683" s="6"/>
    </row>
    <row r="684" spans="4:4" x14ac:dyDescent="0.35">
      <c r="D684" s="6"/>
    </row>
    <row r="685" spans="4:4" x14ac:dyDescent="0.35">
      <c r="D685" s="6"/>
    </row>
    <row r="686" spans="4:4" x14ac:dyDescent="0.35">
      <c r="D686" s="6"/>
    </row>
    <row r="687" spans="4:4" x14ac:dyDescent="0.35">
      <c r="D687" s="6"/>
    </row>
    <row r="688" spans="4:4" x14ac:dyDescent="0.35">
      <c r="D688" s="6"/>
    </row>
    <row r="689" spans="4:22" x14ac:dyDescent="0.35">
      <c r="D689" s="6"/>
    </row>
    <row r="690" spans="4:22" x14ac:dyDescent="0.35">
      <c r="D690" s="6"/>
    </row>
    <row r="691" spans="4:22" x14ac:dyDescent="0.35">
      <c r="D691" s="6"/>
    </row>
    <row r="692" spans="4:22" x14ac:dyDescent="0.35">
      <c r="D692" s="6"/>
    </row>
    <row r="693" spans="4:22" x14ac:dyDescent="0.35">
      <c r="D693" s="6"/>
    </row>
    <row r="694" spans="4:22" x14ac:dyDescent="0.35">
      <c r="D694" s="6"/>
    </row>
    <row r="695" spans="4:22" x14ac:dyDescent="0.35">
      <c r="D695" s="6"/>
      <c r="V695" s="9"/>
    </row>
    <row r="696" spans="4:22" x14ac:dyDescent="0.35">
      <c r="D696" s="6"/>
      <c r="V696" s="9"/>
    </row>
    <row r="697" spans="4:22" x14ac:dyDescent="0.35">
      <c r="D697" s="6"/>
      <c r="V697" s="9"/>
    </row>
    <row r="698" spans="4:22" x14ac:dyDescent="0.35">
      <c r="D698" s="6"/>
      <c r="V698" s="9"/>
    </row>
    <row r="699" spans="4:22" x14ac:dyDescent="0.35">
      <c r="D699" s="6"/>
      <c r="V699" s="9"/>
    </row>
    <row r="700" spans="4:22" x14ac:dyDescent="0.35">
      <c r="D700" s="6"/>
      <c r="V700" s="9"/>
    </row>
    <row r="701" spans="4:22" x14ac:dyDescent="0.35">
      <c r="D701" s="6"/>
      <c r="V701" s="9"/>
    </row>
    <row r="702" spans="4:22" x14ac:dyDescent="0.35">
      <c r="D702" s="6"/>
      <c r="V702" s="9"/>
    </row>
    <row r="703" spans="4:22" x14ac:dyDescent="0.35">
      <c r="D703" s="6"/>
      <c r="V703" s="9"/>
    </row>
    <row r="704" spans="4:22" x14ac:dyDescent="0.35">
      <c r="D704" s="6"/>
      <c r="V704" s="9"/>
    </row>
    <row r="705" spans="4:22" x14ac:dyDescent="0.35">
      <c r="D705" s="6"/>
      <c r="V705" s="9"/>
    </row>
    <row r="706" spans="4:22" x14ac:dyDescent="0.35">
      <c r="D706" s="6"/>
      <c r="V706" s="9"/>
    </row>
    <row r="707" spans="4:22" x14ac:dyDescent="0.35">
      <c r="D707" s="6"/>
      <c r="V707" s="9"/>
    </row>
    <row r="708" spans="4:22" x14ac:dyDescent="0.35">
      <c r="D708" s="6"/>
      <c r="V708" s="9"/>
    </row>
    <row r="709" spans="4:22" x14ac:dyDescent="0.35">
      <c r="D709" s="6"/>
      <c r="V709" s="9"/>
    </row>
    <row r="710" spans="4:22" x14ac:dyDescent="0.35">
      <c r="D710" s="6"/>
      <c r="V710" s="9"/>
    </row>
    <row r="711" spans="4:22" x14ac:dyDescent="0.35">
      <c r="D711" s="6"/>
      <c r="V711" s="9"/>
    </row>
    <row r="712" spans="4:22" x14ac:dyDescent="0.35">
      <c r="D712" s="6"/>
      <c r="V712" s="9"/>
    </row>
    <row r="713" spans="4:22" x14ac:dyDescent="0.35">
      <c r="D713" s="6"/>
      <c r="V713" s="9"/>
    </row>
    <row r="714" spans="4:22" x14ac:dyDescent="0.35">
      <c r="D714" s="6"/>
      <c r="V714" s="9"/>
    </row>
    <row r="715" spans="4:22" x14ac:dyDescent="0.35">
      <c r="D715" s="6"/>
      <c r="V715" s="9"/>
    </row>
    <row r="716" spans="4:22" x14ac:dyDescent="0.35">
      <c r="D716" s="6"/>
      <c r="V716" s="9"/>
    </row>
    <row r="717" spans="4:22" x14ac:dyDescent="0.35">
      <c r="D717" s="6"/>
      <c r="V717" s="9"/>
    </row>
    <row r="718" spans="4:22" x14ac:dyDescent="0.35">
      <c r="D718" s="6"/>
      <c r="V718" s="9"/>
    </row>
    <row r="719" spans="4:22" x14ac:dyDescent="0.35">
      <c r="D719" s="6"/>
      <c r="V719" s="9"/>
    </row>
    <row r="720" spans="4:22" x14ac:dyDescent="0.35">
      <c r="D720" s="6"/>
      <c r="V720" s="9"/>
    </row>
    <row r="721" spans="4:22" x14ac:dyDescent="0.35">
      <c r="D721" s="6"/>
      <c r="V721" s="9"/>
    </row>
    <row r="722" spans="4:22" x14ac:dyDescent="0.35">
      <c r="D722" s="6"/>
      <c r="V722" s="9"/>
    </row>
    <row r="723" spans="4:22" x14ac:dyDescent="0.35">
      <c r="D723" s="6"/>
      <c r="V723" s="9"/>
    </row>
    <row r="724" spans="4:22" x14ac:dyDescent="0.35">
      <c r="D724" s="6"/>
      <c r="V724" s="9"/>
    </row>
    <row r="725" spans="4:22" x14ac:dyDescent="0.35">
      <c r="D725" s="6"/>
      <c r="V725" s="9"/>
    </row>
    <row r="726" spans="4:22" x14ac:dyDescent="0.35">
      <c r="D726" s="6"/>
      <c r="V726" s="9"/>
    </row>
    <row r="727" spans="4:22" x14ac:dyDescent="0.35">
      <c r="D727" s="6"/>
      <c r="V727" s="9"/>
    </row>
    <row r="728" spans="4:22" x14ac:dyDescent="0.35">
      <c r="D728" s="6"/>
      <c r="V728" s="9"/>
    </row>
    <row r="729" spans="4:22" x14ac:dyDescent="0.35">
      <c r="D729" s="6"/>
      <c r="V729" s="9"/>
    </row>
    <row r="730" spans="4:22" x14ac:dyDescent="0.35">
      <c r="D730" s="6"/>
      <c r="V730" s="9"/>
    </row>
    <row r="731" spans="4:22" x14ac:dyDescent="0.35">
      <c r="D731" s="6"/>
      <c r="V731" s="9"/>
    </row>
    <row r="732" spans="4:22" x14ac:dyDescent="0.35">
      <c r="D732" s="6"/>
      <c r="V732" s="9"/>
    </row>
    <row r="733" spans="4:22" x14ac:dyDescent="0.35">
      <c r="D733" s="6"/>
      <c r="V733" s="9"/>
    </row>
    <row r="734" spans="4:22" x14ac:dyDescent="0.35">
      <c r="D734" s="6"/>
      <c r="V734" s="9"/>
    </row>
    <row r="735" spans="4:22" x14ac:dyDescent="0.35">
      <c r="D735" s="6"/>
      <c r="V735" s="9"/>
    </row>
    <row r="736" spans="4:22" x14ac:dyDescent="0.35">
      <c r="D736" s="6"/>
      <c r="V736" s="9"/>
    </row>
    <row r="737" spans="3:22" x14ac:dyDescent="0.35">
      <c r="D737" s="6"/>
      <c r="V737" s="9"/>
    </row>
    <row r="738" spans="3:22" x14ac:dyDescent="0.35">
      <c r="D738" s="6"/>
      <c r="V738" s="9"/>
    </row>
    <row r="739" spans="3:22" x14ac:dyDescent="0.35">
      <c r="D739" s="6"/>
      <c r="V739" s="9"/>
    </row>
    <row r="740" spans="3:22" x14ac:dyDescent="0.35">
      <c r="D740" s="6"/>
      <c r="V740" s="9"/>
    </row>
    <row r="741" spans="3:22" x14ac:dyDescent="0.35">
      <c r="D741" s="6"/>
      <c r="V741" s="9"/>
    </row>
    <row r="742" spans="3:22" x14ac:dyDescent="0.35">
      <c r="D742" s="6"/>
      <c r="V742" s="9"/>
    </row>
    <row r="743" spans="3:22" x14ac:dyDescent="0.35">
      <c r="D743" s="6"/>
      <c r="V743" s="9"/>
    </row>
    <row r="744" spans="3:22" x14ac:dyDescent="0.35">
      <c r="D744" s="6"/>
      <c r="V744" s="9"/>
    </row>
    <row r="745" spans="3:22" x14ac:dyDescent="0.35">
      <c r="D745" s="6"/>
      <c r="V745" s="9"/>
    </row>
    <row r="746" spans="3:22" x14ac:dyDescent="0.35">
      <c r="D746" s="6"/>
      <c r="V746" s="9"/>
    </row>
    <row r="747" spans="3:22" x14ac:dyDescent="0.35">
      <c r="D747" s="6"/>
      <c r="V747" s="9"/>
    </row>
    <row r="748" spans="3:22" x14ac:dyDescent="0.35">
      <c r="D748" s="6"/>
      <c r="V748" s="9"/>
    </row>
    <row r="749" spans="3:22" x14ac:dyDescent="0.35">
      <c r="D749" s="6"/>
      <c r="V749" s="9"/>
    </row>
    <row r="750" spans="3:22" x14ac:dyDescent="0.35">
      <c r="D750" s="6"/>
      <c r="V750" s="9"/>
    </row>
    <row r="751" spans="3:22" x14ac:dyDescent="0.35">
      <c r="D751" s="6"/>
      <c r="V751" s="9"/>
    </row>
    <row r="752" spans="3:22" x14ac:dyDescent="0.35">
      <c r="C752" s="11"/>
      <c r="D752" s="6"/>
      <c r="V752" s="9"/>
    </row>
    <row r="753" spans="3:22" x14ac:dyDescent="0.35">
      <c r="C753" s="11"/>
      <c r="D753" s="6"/>
      <c r="V753" s="9"/>
    </row>
    <row r="754" spans="3:22" x14ac:dyDescent="0.35">
      <c r="C754" s="11"/>
      <c r="D754" s="6"/>
      <c r="V754" s="9"/>
    </row>
    <row r="755" spans="3:22" x14ac:dyDescent="0.35">
      <c r="C755" s="11"/>
      <c r="D755" s="6"/>
      <c r="V755" s="9"/>
    </row>
    <row r="756" spans="3:22" x14ac:dyDescent="0.35">
      <c r="C756" s="11"/>
      <c r="D756" s="6"/>
      <c r="V756" s="9"/>
    </row>
    <row r="757" spans="3:22" x14ac:dyDescent="0.35">
      <c r="C757" s="11"/>
      <c r="D757" s="6"/>
      <c r="V757" s="9"/>
    </row>
    <row r="758" spans="3:22" x14ac:dyDescent="0.35">
      <c r="C758" s="11"/>
      <c r="D758" s="6"/>
      <c r="V758" s="9"/>
    </row>
    <row r="759" spans="3:22" x14ac:dyDescent="0.35">
      <c r="C759" s="11"/>
      <c r="D759" s="6"/>
      <c r="V759" s="9"/>
    </row>
    <row r="760" spans="3:22" x14ac:dyDescent="0.35">
      <c r="C760" s="11"/>
      <c r="D760" s="6"/>
      <c r="V760" s="9"/>
    </row>
    <row r="761" spans="3:22" x14ac:dyDescent="0.35">
      <c r="C761" s="11"/>
      <c r="D761" s="6"/>
      <c r="V761" s="9"/>
    </row>
    <row r="762" spans="3:22" x14ac:dyDescent="0.35">
      <c r="C762" s="11"/>
      <c r="D762" s="6"/>
      <c r="V762" s="9"/>
    </row>
    <row r="763" spans="3:22" x14ac:dyDescent="0.35">
      <c r="C763" s="11"/>
      <c r="D763" s="6"/>
      <c r="V763" s="9"/>
    </row>
    <row r="764" spans="3:22" x14ac:dyDescent="0.35">
      <c r="C764" s="11"/>
      <c r="D764" s="6"/>
      <c r="V764" s="9"/>
    </row>
    <row r="765" spans="3:22" x14ac:dyDescent="0.35">
      <c r="C765" s="11"/>
      <c r="D765" s="6"/>
      <c r="V765" s="9"/>
    </row>
    <row r="766" spans="3:22" x14ac:dyDescent="0.35">
      <c r="C766" s="11"/>
      <c r="D766" s="6"/>
      <c r="V766" s="9"/>
    </row>
    <row r="767" spans="3:22" x14ac:dyDescent="0.35">
      <c r="C767" s="11"/>
      <c r="D767" s="6"/>
      <c r="V767" s="9"/>
    </row>
    <row r="768" spans="3:22" x14ac:dyDescent="0.35">
      <c r="C768" s="11"/>
      <c r="D768" s="6"/>
      <c r="V768" s="9"/>
    </row>
    <row r="769" spans="3:22" x14ac:dyDescent="0.35">
      <c r="C769" s="11"/>
      <c r="D769" s="6"/>
      <c r="V769" s="9"/>
    </row>
    <row r="770" spans="3:22" x14ac:dyDescent="0.35">
      <c r="C770" s="11"/>
      <c r="D770" s="6"/>
      <c r="V770" s="9"/>
    </row>
    <row r="771" spans="3:22" x14ac:dyDescent="0.35">
      <c r="C771" s="11"/>
      <c r="D771" s="6"/>
      <c r="V771" s="9"/>
    </row>
    <row r="772" spans="3:22" x14ac:dyDescent="0.35">
      <c r="C772" s="11"/>
      <c r="D772" s="6"/>
      <c r="V772" s="9"/>
    </row>
    <row r="773" spans="3:22" x14ac:dyDescent="0.35">
      <c r="C773" s="11"/>
      <c r="D773" s="6"/>
      <c r="V773" s="9"/>
    </row>
    <row r="774" spans="3:22" x14ac:dyDescent="0.35">
      <c r="C774" s="11"/>
      <c r="D774" s="6"/>
      <c r="V774" s="9"/>
    </row>
    <row r="775" spans="3:22" x14ac:dyDescent="0.35">
      <c r="C775" s="11"/>
      <c r="D775" s="6"/>
      <c r="V775" s="9"/>
    </row>
    <row r="776" spans="3:22" x14ac:dyDescent="0.35">
      <c r="C776" s="11"/>
      <c r="D776" s="6"/>
      <c r="V776" s="9"/>
    </row>
    <row r="777" spans="3:22" x14ac:dyDescent="0.35">
      <c r="C777" s="11"/>
      <c r="D777" s="6"/>
      <c r="V777" s="9"/>
    </row>
    <row r="778" spans="3:22" x14ac:dyDescent="0.35">
      <c r="C778" s="11"/>
      <c r="D778" s="6"/>
      <c r="V778" s="9"/>
    </row>
    <row r="779" spans="3:22" x14ac:dyDescent="0.35">
      <c r="C779" s="11"/>
      <c r="D779" s="6"/>
      <c r="V779" s="9"/>
    </row>
    <row r="780" spans="3:22" x14ac:dyDescent="0.35">
      <c r="C780" s="11"/>
      <c r="D780" s="6"/>
      <c r="V780" s="9"/>
    </row>
    <row r="781" spans="3:22" x14ac:dyDescent="0.35">
      <c r="C781" s="11"/>
      <c r="D781" s="6"/>
      <c r="V781" s="9"/>
    </row>
    <row r="782" spans="3:22" x14ac:dyDescent="0.35">
      <c r="C782" s="11"/>
      <c r="D782" s="6"/>
      <c r="V782" s="9"/>
    </row>
    <row r="783" spans="3:22" x14ac:dyDescent="0.35">
      <c r="C783" s="11"/>
      <c r="D783" s="6"/>
      <c r="V783" s="9"/>
    </row>
    <row r="784" spans="3:22" x14ac:dyDescent="0.35">
      <c r="C784" s="11"/>
      <c r="D784" s="6"/>
      <c r="V784" s="9"/>
    </row>
    <row r="785" spans="3:22" x14ac:dyDescent="0.35">
      <c r="C785" s="11"/>
      <c r="D785" s="6"/>
      <c r="V785" s="9"/>
    </row>
    <row r="786" spans="3:22" x14ac:dyDescent="0.35">
      <c r="C786" s="11"/>
      <c r="D786" s="6"/>
      <c r="V786" s="9"/>
    </row>
    <row r="787" spans="3:22" x14ac:dyDescent="0.35">
      <c r="C787" s="11"/>
      <c r="D787" s="6"/>
      <c r="V787" s="9"/>
    </row>
    <row r="788" spans="3:22" x14ac:dyDescent="0.35">
      <c r="C788" s="11"/>
      <c r="D788" s="6"/>
      <c r="V788" s="9"/>
    </row>
    <row r="789" spans="3:22" x14ac:dyDescent="0.35">
      <c r="C789" s="11"/>
      <c r="D789" s="6"/>
      <c r="V789" s="9"/>
    </row>
    <row r="790" spans="3:22" x14ac:dyDescent="0.35">
      <c r="C790" s="11"/>
      <c r="D790" s="6"/>
      <c r="V790" s="9"/>
    </row>
    <row r="791" spans="3:22" x14ac:dyDescent="0.35">
      <c r="C791" s="11"/>
      <c r="D791" s="6"/>
      <c r="V791" s="9"/>
    </row>
    <row r="792" spans="3:22" x14ac:dyDescent="0.35">
      <c r="C792" s="11"/>
      <c r="D792" s="6"/>
      <c r="V792" s="9"/>
    </row>
    <row r="793" spans="3:22" x14ac:dyDescent="0.35">
      <c r="C793" s="11"/>
      <c r="D793" s="6"/>
      <c r="V793" s="9"/>
    </row>
    <row r="794" spans="3:22" x14ac:dyDescent="0.35">
      <c r="C794" s="11"/>
      <c r="D794" s="6"/>
      <c r="V794" s="9"/>
    </row>
    <row r="795" spans="3:22" x14ac:dyDescent="0.35">
      <c r="C795" s="11"/>
      <c r="D795" s="6"/>
      <c r="V795" s="9"/>
    </row>
    <row r="796" spans="3:22" x14ac:dyDescent="0.35">
      <c r="C796" s="11"/>
      <c r="D796" s="6"/>
      <c r="V796" s="9"/>
    </row>
    <row r="797" spans="3:22" x14ac:dyDescent="0.35">
      <c r="C797" s="11"/>
      <c r="D797" s="6"/>
      <c r="V797" s="9"/>
    </row>
    <row r="798" spans="3:22" x14ac:dyDescent="0.35">
      <c r="C798" s="11"/>
      <c r="D798" s="6"/>
      <c r="V798" s="9"/>
    </row>
    <row r="799" spans="3:22" x14ac:dyDescent="0.35">
      <c r="C799" s="11"/>
      <c r="D799" s="6"/>
      <c r="V799" s="9"/>
    </row>
    <row r="800" spans="3:22" x14ac:dyDescent="0.35">
      <c r="C800" s="11"/>
      <c r="D800" s="6"/>
      <c r="V800" s="9"/>
    </row>
    <row r="801" spans="3:22" x14ac:dyDescent="0.35">
      <c r="C801" s="11"/>
      <c r="D801" s="6"/>
      <c r="V801" s="9"/>
    </row>
    <row r="802" spans="3:22" x14ac:dyDescent="0.35">
      <c r="C802" s="11"/>
      <c r="D802" s="6"/>
      <c r="V802" s="9"/>
    </row>
    <row r="803" spans="3:22" x14ac:dyDescent="0.35">
      <c r="C803" s="11"/>
      <c r="D803" s="6"/>
      <c r="V803" s="9"/>
    </row>
    <row r="804" spans="3:22" x14ac:dyDescent="0.35">
      <c r="C804" s="11"/>
      <c r="D804" s="6"/>
      <c r="V804" s="9"/>
    </row>
    <row r="805" spans="3:22" x14ac:dyDescent="0.35">
      <c r="C805" s="11"/>
      <c r="D805" s="6"/>
      <c r="V805" s="9"/>
    </row>
    <row r="806" spans="3:22" x14ac:dyDescent="0.35">
      <c r="C806" s="11"/>
      <c r="D806" s="6"/>
      <c r="V806" s="9"/>
    </row>
    <row r="807" spans="3:22" x14ac:dyDescent="0.35">
      <c r="C807" s="11"/>
      <c r="D807" s="6"/>
      <c r="V807" s="9"/>
    </row>
    <row r="808" spans="3:22" x14ac:dyDescent="0.35">
      <c r="C808" s="11"/>
      <c r="D808" s="6"/>
      <c r="V808" s="12"/>
    </row>
    <row r="809" spans="3:22" x14ac:dyDescent="0.35">
      <c r="C809" s="11"/>
      <c r="D809" s="6"/>
      <c r="V809" s="12"/>
    </row>
    <row r="810" spans="3:22" x14ac:dyDescent="0.35">
      <c r="C810" s="11"/>
      <c r="D810" s="6"/>
      <c r="V810" s="12"/>
    </row>
    <row r="811" spans="3:22" x14ac:dyDescent="0.35">
      <c r="C811" s="11"/>
      <c r="D811" s="6"/>
      <c r="V811" s="12"/>
    </row>
    <row r="812" spans="3:22" x14ac:dyDescent="0.35">
      <c r="C812" s="11"/>
      <c r="D812" s="6"/>
      <c r="V812" s="12"/>
    </row>
    <row r="813" spans="3:22" x14ac:dyDescent="0.35">
      <c r="C813" s="11"/>
      <c r="D813" s="6"/>
      <c r="V813" s="12"/>
    </row>
    <row r="814" spans="3:22" x14ac:dyDescent="0.35">
      <c r="C814" s="11"/>
      <c r="D814" s="6"/>
      <c r="V814" s="12"/>
    </row>
    <row r="815" spans="3:22" x14ac:dyDescent="0.35">
      <c r="C815" s="11"/>
      <c r="D815" s="6"/>
      <c r="V815" s="12"/>
    </row>
    <row r="816" spans="3:22" x14ac:dyDescent="0.35">
      <c r="C816" s="11"/>
      <c r="D816" s="6"/>
      <c r="V816" s="12"/>
    </row>
    <row r="817" spans="3:22" x14ac:dyDescent="0.35">
      <c r="C817" s="11"/>
      <c r="D817" s="6"/>
      <c r="V817" s="12"/>
    </row>
    <row r="818" spans="3:22" x14ac:dyDescent="0.35">
      <c r="C818" s="11"/>
      <c r="D818" s="6"/>
      <c r="V818" s="12"/>
    </row>
    <row r="819" spans="3:22" x14ac:dyDescent="0.35">
      <c r="C819" s="11"/>
      <c r="D819" s="6"/>
      <c r="V819" s="12"/>
    </row>
    <row r="820" spans="3:22" x14ac:dyDescent="0.35">
      <c r="C820" s="11"/>
      <c r="D820" s="6"/>
      <c r="V820" s="12"/>
    </row>
    <row r="821" spans="3:22" x14ac:dyDescent="0.35">
      <c r="C821" s="11"/>
      <c r="D821" s="6"/>
      <c r="V821" s="12"/>
    </row>
    <row r="822" spans="3:22" x14ac:dyDescent="0.35">
      <c r="C822" s="11"/>
      <c r="D822" s="6"/>
      <c r="V822" s="12"/>
    </row>
    <row r="823" spans="3:22" x14ac:dyDescent="0.35">
      <c r="C823" s="11"/>
      <c r="D823" s="6"/>
      <c r="V823" s="12"/>
    </row>
    <row r="824" spans="3:22" x14ac:dyDescent="0.35">
      <c r="C824" s="11"/>
      <c r="D824" s="6"/>
      <c r="V824" s="12"/>
    </row>
    <row r="825" spans="3:22" x14ac:dyDescent="0.35">
      <c r="C825" s="11"/>
      <c r="D825" s="6"/>
      <c r="V825" s="12"/>
    </row>
    <row r="826" spans="3:22" x14ac:dyDescent="0.35">
      <c r="C826" s="11"/>
      <c r="D826" s="6"/>
      <c r="V826" s="12"/>
    </row>
    <row r="827" spans="3:22" x14ac:dyDescent="0.35">
      <c r="C827" s="11"/>
      <c r="D827" s="6"/>
      <c r="V827" s="12"/>
    </row>
    <row r="828" spans="3:22" x14ac:dyDescent="0.35">
      <c r="C828" s="11"/>
      <c r="D828" s="6"/>
      <c r="V828" s="12"/>
    </row>
    <row r="829" spans="3:22" x14ac:dyDescent="0.35">
      <c r="C829" s="11"/>
      <c r="D829" s="6"/>
      <c r="V829" s="12"/>
    </row>
    <row r="830" spans="3:22" x14ac:dyDescent="0.35">
      <c r="C830" s="11"/>
      <c r="D830" s="6"/>
      <c r="V830" s="12"/>
    </row>
    <row r="831" spans="3:22" x14ac:dyDescent="0.35">
      <c r="C831" s="11"/>
      <c r="D831" s="6"/>
      <c r="V831" s="12"/>
    </row>
    <row r="832" spans="3:22" x14ac:dyDescent="0.35">
      <c r="C832" s="11"/>
      <c r="D832" s="6"/>
      <c r="V832" s="12"/>
    </row>
    <row r="833" spans="3:22" x14ac:dyDescent="0.35">
      <c r="C833" s="11"/>
      <c r="D833" s="6"/>
      <c r="V833" s="12"/>
    </row>
    <row r="834" spans="3:22" x14ac:dyDescent="0.35">
      <c r="C834" s="11"/>
      <c r="D834" s="6"/>
      <c r="V834" s="12"/>
    </row>
    <row r="835" spans="3:22" x14ac:dyDescent="0.35">
      <c r="C835" s="11"/>
      <c r="D835" s="6"/>
      <c r="V835" s="12"/>
    </row>
    <row r="836" spans="3:22" x14ac:dyDescent="0.35">
      <c r="C836" s="11"/>
      <c r="D836" s="6"/>
      <c r="V836" s="12"/>
    </row>
    <row r="837" spans="3:22" x14ac:dyDescent="0.35">
      <c r="C837" s="11"/>
      <c r="D837" s="6"/>
      <c r="V837" s="12"/>
    </row>
    <row r="838" spans="3:22" x14ac:dyDescent="0.35">
      <c r="C838" s="11"/>
      <c r="D838" s="6"/>
      <c r="V838" s="12"/>
    </row>
    <row r="839" spans="3:22" x14ac:dyDescent="0.35">
      <c r="C839" s="11"/>
      <c r="D839" s="6"/>
      <c r="V839" s="12"/>
    </row>
    <row r="840" spans="3:22" x14ac:dyDescent="0.35">
      <c r="C840" s="11"/>
      <c r="D840" s="6"/>
      <c r="V840" s="12"/>
    </row>
    <row r="841" spans="3:22" x14ac:dyDescent="0.35">
      <c r="C841" s="11"/>
      <c r="D841" s="6"/>
      <c r="V841" s="12"/>
    </row>
    <row r="842" spans="3:22" x14ac:dyDescent="0.35">
      <c r="C842" s="11"/>
      <c r="D842" s="6"/>
      <c r="V842" s="12"/>
    </row>
    <row r="843" spans="3:22" x14ac:dyDescent="0.35">
      <c r="C843" s="11"/>
      <c r="D843" s="6"/>
      <c r="V843" s="12"/>
    </row>
    <row r="844" spans="3:22" x14ac:dyDescent="0.35">
      <c r="C844" s="11"/>
      <c r="D844" s="6"/>
      <c r="V844" s="12"/>
    </row>
    <row r="845" spans="3:22" x14ac:dyDescent="0.35">
      <c r="C845" s="11"/>
      <c r="D845" s="6"/>
      <c r="V845" s="12"/>
    </row>
    <row r="846" spans="3:22" x14ac:dyDescent="0.35">
      <c r="C846" s="11"/>
      <c r="D846" s="6"/>
      <c r="V846" s="12"/>
    </row>
    <row r="847" spans="3:22" x14ac:dyDescent="0.35">
      <c r="C847" s="11"/>
      <c r="D847" s="6"/>
      <c r="V847" s="12"/>
    </row>
    <row r="848" spans="3:22" x14ac:dyDescent="0.35">
      <c r="C848" s="11"/>
      <c r="D848" s="6"/>
      <c r="V848" s="12"/>
    </row>
    <row r="849" spans="3:22" x14ac:dyDescent="0.35">
      <c r="C849" s="11"/>
      <c r="D849" s="6"/>
      <c r="V849" s="12"/>
    </row>
    <row r="850" spans="3:22" x14ac:dyDescent="0.35">
      <c r="C850" s="11"/>
      <c r="D850" s="6"/>
      <c r="V850" s="12"/>
    </row>
    <row r="851" spans="3:22" x14ac:dyDescent="0.35">
      <c r="C851" s="11"/>
      <c r="D851" s="6"/>
      <c r="V851" s="12"/>
    </row>
    <row r="852" spans="3:22" x14ac:dyDescent="0.35">
      <c r="C852" s="11"/>
      <c r="D852" s="6"/>
      <c r="V852" s="12"/>
    </row>
    <row r="853" spans="3:22" x14ac:dyDescent="0.35">
      <c r="C853" s="11"/>
      <c r="D853" s="6"/>
      <c r="V853" s="12"/>
    </row>
    <row r="854" spans="3:22" x14ac:dyDescent="0.35">
      <c r="C854" s="11"/>
      <c r="D854" s="6"/>
      <c r="V854" s="12"/>
    </row>
    <row r="855" spans="3:22" x14ac:dyDescent="0.35">
      <c r="C855" s="11"/>
      <c r="D855" s="6"/>
      <c r="V855" s="12"/>
    </row>
    <row r="856" spans="3:22" x14ac:dyDescent="0.35">
      <c r="C856" s="11"/>
      <c r="D856" s="6"/>
      <c r="V856" s="12"/>
    </row>
    <row r="857" spans="3:22" x14ac:dyDescent="0.35">
      <c r="C857" s="11"/>
      <c r="D857" s="6"/>
      <c r="V857" s="12"/>
    </row>
    <row r="858" spans="3:22" x14ac:dyDescent="0.35">
      <c r="C858" s="11"/>
      <c r="D858" s="6"/>
      <c r="V858" s="12"/>
    </row>
    <row r="859" spans="3:22" x14ac:dyDescent="0.35">
      <c r="C859" s="11"/>
      <c r="D859" s="6"/>
      <c r="V859" s="12"/>
    </row>
    <row r="860" spans="3:22" x14ac:dyDescent="0.35">
      <c r="C860" s="11"/>
      <c r="D860" s="6"/>
      <c r="V860" s="12"/>
    </row>
    <row r="861" spans="3:22" x14ac:dyDescent="0.35">
      <c r="C861" s="11"/>
      <c r="D861" s="6"/>
      <c r="V861" s="12"/>
    </row>
    <row r="862" spans="3:22" x14ac:dyDescent="0.35">
      <c r="C862" s="11"/>
      <c r="D862" s="6"/>
      <c r="V862" s="12"/>
    </row>
    <row r="863" spans="3:22" x14ac:dyDescent="0.35">
      <c r="C863" s="11"/>
      <c r="D863" s="6"/>
      <c r="V863" s="12"/>
    </row>
    <row r="864" spans="3:22" x14ac:dyDescent="0.35">
      <c r="C864" s="11"/>
      <c r="D864" s="6"/>
      <c r="V864" s="12"/>
    </row>
    <row r="865" spans="3:22" x14ac:dyDescent="0.35">
      <c r="C865" s="11"/>
      <c r="D865" s="6"/>
      <c r="V865" s="12"/>
    </row>
    <row r="866" spans="3:22" x14ac:dyDescent="0.35">
      <c r="C866" s="11"/>
      <c r="D866" s="6"/>
      <c r="V866" s="12"/>
    </row>
    <row r="867" spans="3:22" x14ac:dyDescent="0.35">
      <c r="C867" s="11"/>
      <c r="D867" s="6"/>
      <c r="V867" s="12"/>
    </row>
    <row r="868" spans="3:22" x14ac:dyDescent="0.35">
      <c r="C868" s="11"/>
      <c r="D868" s="6"/>
      <c r="V868" s="12"/>
    </row>
    <row r="869" spans="3:22" x14ac:dyDescent="0.35">
      <c r="C869" s="11"/>
      <c r="D869" s="6"/>
      <c r="V869" s="12"/>
    </row>
    <row r="870" spans="3:22" x14ac:dyDescent="0.35">
      <c r="C870" s="11"/>
      <c r="D870" s="6"/>
      <c r="V870" s="12"/>
    </row>
    <row r="871" spans="3:22" x14ac:dyDescent="0.35">
      <c r="C871" s="11"/>
      <c r="D871" s="6"/>
      <c r="V871" s="12"/>
    </row>
    <row r="872" spans="3:22" x14ac:dyDescent="0.35">
      <c r="C872" s="11"/>
      <c r="D872" s="6"/>
      <c r="V872" s="12"/>
    </row>
    <row r="873" spans="3:22" x14ac:dyDescent="0.35">
      <c r="C873" s="11"/>
      <c r="D873" s="6"/>
      <c r="V873" s="12"/>
    </row>
    <row r="874" spans="3:22" x14ac:dyDescent="0.35">
      <c r="C874" s="11"/>
      <c r="D874" s="6"/>
      <c r="V874" s="12"/>
    </row>
    <row r="875" spans="3:22" x14ac:dyDescent="0.35">
      <c r="C875" s="11"/>
      <c r="D875" s="6"/>
      <c r="V875" s="12"/>
    </row>
    <row r="876" spans="3:22" x14ac:dyDescent="0.35">
      <c r="C876" s="11"/>
      <c r="D876" s="6"/>
      <c r="V876" s="12"/>
    </row>
    <row r="877" spans="3:22" x14ac:dyDescent="0.35">
      <c r="C877" s="11"/>
      <c r="D877" s="6"/>
      <c r="V877" s="12"/>
    </row>
    <row r="878" spans="3:22" x14ac:dyDescent="0.35">
      <c r="C878" s="11"/>
      <c r="D878" s="6"/>
      <c r="V878" s="12"/>
    </row>
    <row r="879" spans="3:22" x14ac:dyDescent="0.35">
      <c r="C879" s="11"/>
      <c r="D879" s="6"/>
      <c r="V879" s="12"/>
    </row>
    <row r="880" spans="3:22" x14ac:dyDescent="0.35">
      <c r="C880" s="11"/>
      <c r="D880" s="6"/>
      <c r="V880" s="12"/>
    </row>
    <row r="881" spans="3:22" x14ac:dyDescent="0.35">
      <c r="C881" s="11"/>
      <c r="D881" s="6"/>
      <c r="V881" s="12"/>
    </row>
    <row r="882" spans="3:22" x14ac:dyDescent="0.35">
      <c r="C882" s="11"/>
      <c r="D882" s="6"/>
      <c r="V882" s="12"/>
    </row>
    <row r="883" spans="3:22" x14ac:dyDescent="0.35">
      <c r="C883" s="11"/>
      <c r="D883" s="6"/>
      <c r="V883" s="12"/>
    </row>
    <row r="884" spans="3:22" x14ac:dyDescent="0.35">
      <c r="C884" s="11"/>
      <c r="D884" s="6"/>
      <c r="V884" s="12"/>
    </row>
    <row r="885" spans="3:22" x14ac:dyDescent="0.35">
      <c r="C885" s="11"/>
      <c r="D885" s="6"/>
      <c r="V885" s="12"/>
    </row>
    <row r="886" spans="3:22" x14ac:dyDescent="0.35">
      <c r="C886" s="11"/>
      <c r="D886" s="6"/>
      <c r="V886" s="12"/>
    </row>
    <row r="887" spans="3:22" x14ac:dyDescent="0.35">
      <c r="C887" s="11"/>
      <c r="D887" s="6"/>
      <c r="V887" s="12"/>
    </row>
    <row r="888" spans="3:22" x14ac:dyDescent="0.35">
      <c r="C888" s="11"/>
      <c r="D888" s="6"/>
      <c r="V888" s="12"/>
    </row>
    <row r="889" spans="3:22" x14ac:dyDescent="0.35">
      <c r="C889" s="11"/>
      <c r="D889" s="6"/>
      <c r="V889" s="12"/>
    </row>
    <row r="890" spans="3:22" x14ac:dyDescent="0.35">
      <c r="C890" s="11"/>
      <c r="D890" s="6"/>
      <c r="V890" s="12"/>
    </row>
    <row r="891" spans="3:22" x14ac:dyDescent="0.35">
      <c r="C891" s="11"/>
      <c r="D891" s="6"/>
      <c r="V891" s="12"/>
    </row>
    <row r="892" spans="3:22" x14ac:dyDescent="0.35">
      <c r="C892" s="11"/>
      <c r="D892" s="6"/>
      <c r="V892" s="12"/>
    </row>
    <row r="893" spans="3:22" x14ac:dyDescent="0.35">
      <c r="C893" s="11"/>
      <c r="D893" s="6"/>
      <c r="V893" s="12"/>
    </row>
    <row r="894" spans="3:22" x14ac:dyDescent="0.35">
      <c r="C894" s="11"/>
      <c r="D894" s="6"/>
      <c r="V894" s="12"/>
    </row>
    <row r="895" spans="3:22" x14ac:dyDescent="0.35">
      <c r="C895" s="11"/>
      <c r="D895" s="6"/>
      <c r="V895" s="12"/>
    </row>
    <row r="896" spans="3:22" x14ac:dyDescent="0.35">
      <c r="C896" s="11"/>
      <c r="D896" s="6"/>
      <c r="V896" s="12"/>
    </row>
    <row r="897" spans="3:22" x14ac:dyDescent="0.35">
      <c r="C897" s="11"/>
      <c r="D897" s="6"/>
      <c r="V897" s="12"/>
    </row>
    <row r="898" spans="3:22" x14ac:dyDescent="0.35">
      <c r="C898" s="11"/>
      <c r="D898" s="6"/>
      <c r="V898" s="12"/>
    </row>
    <row r="899" spans="3:22" x14ac:dyDescent="0.35">
      <c r="C899" s="11"/>
      <c r="D899" s="6"/>
      <c r="V899" s="12"/>
    </row>
    <row r="900" spans="3:22" x14ac:dyDescent="0.35">
      <c r="C900" s="11"/>
      <c r="D900" s="6"/>
      <c r="V900" s="12"/>
    </row>
    <row r="901" spans="3:22" x14ac:dyDescent="0.35">
      <c r="C901" s="11"/>
      <c r="D901" s="6"/>
      <c r="V901" s="12"/>
    </row>
    <row r="902" spans="3:22" x14ac:dyDescent="0.35">
      <c r="C902" s="11"/>
      <c r="D902" s="6"/>
      <c r="V902" s="12"/>
    </row>
    <row r="903" spans="3:22" x14ac:dyDescent="0.35">
      <c r="C903" s="11"/>
      <c r="D903" s="6"/>
      <c r="V903" s="12"/>
    </row>
    <row r="904" spans="3:22" x14ac:dyDescent="0.35">
      <c r="C904" s="11"/>
      <c r="D904" s="6"/>
      <c r="V904" s="12"/>
    </row>
    <row r="905" spans="3:22" x14ac:dyDescent="0.35">
      <c r="C905" s="11"/>
      <c r="D905" s="6"/>
      <c r="V905" s="12"/>
    </row>
    <row r="906" spans="3:22" x14ac:dyDescent="0.35">
      <c r="C906" s="11"/>
      <c r="D906" s="6"/>
      <c r="V906" s="12"/>
    </row>
    <row r="907" spans="3:22" x14ac:dyDescent="0.35">
      <c r="C907" s="11"/>
      <c r="D907" s="6"/>
      <c r="V907" s="12"/>
    </row>
    <row r="908" spans="3:22" x14ac:dyDescent="0.35">
      <c r="C908" s="11"/>
      <c r="D908" s="6"/>
      <c r="V908" s="12"/>
    </row>
    <row r="909" spans="3:22" x14ac:dyDescent="0.35">
      <c r="C909" s="11"/>
      <c r="D909" s="6"/>
      <c r="V909" s="12"/>
    </row>
    <row r="910" spans="3:22" x14ac:dyDescent="0.35">
      <c r="C910" s="11"/>
      <c r="D910" s="6"/>
      <c r="V910" s="12"/>
    </row>
    <row r="911" spans="3:22" x14ac:dyDescent="0.35">
      <c r="C911" s="11"/>
      <c r="D911" s="6"/>
      <c r="V911" s="12"/>
    </row>
    <row r="912" spans="3:22" x14ac:dyDescent="0.35">
      <c r="C912" s="11"/>
      <c r="D912" s="6"/>
      <c r="V912" s="12"/>
    </row>
    <row r="913" spans="3:22" x14ac:dyDescent="0.35">
      <c r="C913" s="11"/>
      <c r="D913" s="6"/>
      <c r="V913" s="12"/>
    </row>
    <row r="914" spans="3:22" x14ac:dyDescent="0.35">
      <c r="C914" s="11"/>
      <c r="D914" s="6"/>
      <c r="V914" s="12"/>
    </row>
    <row r="915" spans="3:22" x14ac:dyDescent="0.35">
      <c r="C915" s="11"/>
      <c r="D915" s="6"/>
      <c r="V915" s="12"/>
    </row>
    <row r="916" spans="3:22" x14ac:dyDescent="0.35">
      <c r="C916" s="11"/>
      <c r="D916" s="6"/>
      <c r="V916" s="12"/>
    </row>
    <row r="917" spans="3:22" x14ac:dyDescent="0.35">
      <c r="C917" s="11"/>
      <c r="D917" s="6"/>
      <c r="V917" s="12"/>
    </row>
    <row r="918" spans="3:22" x14ac:dyDescent="0.35">
      <c r="C918" s="11"/>
      <c r="D918" s="6"/>
      <c r="V918" s="12"/>
    </row>
    <row r="919" spans="3:22" x14ac:dyDescent="0.35">
      <c r="C919" s="11"/>
      <c r="D919" s="6"/>
      <c r="V919" s="12"/>
    </row>
    <row r="920" spans="3:22" x14ac:dyDescent="0.35">
      <c r="C920" s="11"/>
      <c r="D920" s="6"/>
    </row>
    <row r="921" spans="3:22" x14ac:dyDescent="0.35">
      <c r="C921" s="11"/>
      <c r="D921" s="6"/>
    </row>
    <row r="922" spans="3:22" x14ac:dyDescent="0.35">
      <c r="C922" s="11"/>
      <c r="D922" s="6"/>
    </row>
    <row r="923" spans="3:22" x14ac:dyDescent="0.35">
      <c r="C923" s="11"/>
      <c r="D923" s="6"/>
    </row>
    <row r="924" spans="3:22" x14ac:dyDescent="0.35">
      <c r="C924" s="11"/>
      <c r="D924" s="6"/>
    </row>
    <row r="925" spans="3:22" x14ac:dyDescent="0.35">
      <c r="C925" s="11"/>
      <c r="D925" s="6"/>
    </row>
    <row r="926" spans="3:22" x14ac:dyDescent="0.35">
      <c r="C926" s="11"/>
      <c r="D926" s="6"/>
    </row>
    <row r="927" spans="3:22" x14ac:dyDescent="0.35">
      <c r="C927" s="11"/>
      <c r="D927" s="6"/>
    </row>
    <row r="928" spans="3:22" x14ac:dyDescent="0.35">
      <c r="C928" s="11"/>
      <c r="D928" s="6"/>
    </row>
    <row r="929" spans="3:4" x14ac:dyDescent="0.35">
      <c r="C929" s="11"/>
      <c r="D929" s="6"/>
    </row>
    <row r="930" spans="3:4" x14ac:dyDescent="0.35">
      <c r="C930" s="11"/>
      <c r="D930" s="6"/>
    </row>
    <row r="931" spans="3:4" x14ac:dyDescent="0.35">
      <c r="C931" s="11"/>
      <c r="D931" s="6"/>
    </row>
    <row r="932" spans="3:4" x14ac:dyDescent="0.35">
      <c r="C932" s="11"/>
      <c r="D932" s="6"/>
    </row>
    <row r="933" spans="3:4" x14ac:dyDescent="0.35">
      <c r="C933" s="11"/>
      <c r="D933" s="6"/>
    </row>
    <row r="934" spans="3:4" x14ac:dyDescent="0.35">
      <c r="C934" s="11"/>
      <c r="D934" s="6"/>
    </row>
    <row r="935" spans="3:4" x14ac:dyDescent="0.35">
      <c r="C935" s="11"/>
      <c r="D935" s="6"/>
    </row>
    <row r="936" spans="3:4" x14ac:dyDescent="0.35">
      <c r="C936" s="11"/>
      <c r="D936" s="6"/>
    </row>
    <row r="937" spans="3:4" x14ac:dyDescent="0.35">
      <c r="C937" s="11"/>
      <c r="D937" s="6"/>
    </row>
    <row r="938" spans="3:4" x14ac:dyDescent="0.35">
      <c r="C938" s="11"/>
      <c r="D938" s="6"/>
    </row>
    <row r="939" spans="3:4" x14ac:dyDescent="0.35">
      <c r="C939" s="11"/>
      <c r="D939" s="6"/>
    </row>
    <row r="940" spans="3:4" x14ac:dyDescent="0.35">
      <c r="C940" s="11"/>
      <c r="D940" s="6"/>
    </row>
    <row r="941" spans="3:4" x14ac:dyDescent="0.35">
      <c r="C941" s="11"/>
      <c r="D941" s="6"/>
    </row>
    <row r="942" spans="3:4" x14ac:dyDescent="0.35">
      <c r="C942" s="11"/>
      <c r="D942" s="6"/>
    </row>
    <row r="943" spans="3:4" x14ac:dyDescent="0.35">
      <c r="C943" s="11"/>
      <c r="D943" s="6"/>
    </row>
    <row r="944" spans="3:4" x14ac:dyDescent="0.35">
      <c r="C944" s="11"/>
      <c r="D944" s="6"/>
    </row>
    <row r="945" spans="3:4" x14ac:dyDescent="0.35">
      <c r="C945" s="11"/>
      <c r="D945" s="6"/>
    </row>
    <row r="946" spans="3:4" x14ac:dyDescent="0.35">
      <c r="C946" s="11"/>
      <c r="D946" s="6"/>
    </row>
    <row r="947" spans="3:4" x14ac:dyDescent="0.35">
      <c r="C947" s="11"/>
      <c r="D947" s="6"/>
    </row>
    <row r="948" spans="3:4" x14ac:dyDescent="0.35">
      <c r="C948" s="11"/>
      <c r="D948" s="6"/>
    </row>
    <row r="950" spans="3:4" x14ac:dyDescent="0.35">
      <c r="C950" s="11"/>
      <c r="D950" s="6"/>
    </row>
    <row r="951" spans="3:4" x14ac:dyDescent="0.35">
      <c r="C951" s="11"/>
      <c r="D951" s="6"/>
    </row>
    <row r="952" spans="3:4" x14ac:dyDescent="0.35">
      <c r="C952" s="11"/>
      <c r="D952" s="6"/>
    </row>
    <row r="953" spans="3:4" x14ac:dyDescent="0.35">
      <c r="C953" s="11"/>
      <c r="D953" s="6"/>
    </row>
    <row r="954" spans="3:4" x14ac:dyDescent="0.35">
      <c r="C954" s="11"/>
      <c r="D954" s="6"/>
    </row>
    <row r="955" spans="3:4" x14ac:dyDescent="0.35">
      <c r="C955" s="11"/>
      <c r="D955" s="6"/>
    </row>
    <row r="956" spans="3:4" x14ac:dyDescent="0.35">
      <c r="C956" s="11"/>
      <c r="D956" s="6"/>
    </row>
    <row r="957" spans="3:4" x14ac:dyDescent="0.35">
      <c r="C957" s="11"/>
      <c r="D957" s="6"/>
    </row>
    <row r="958" spans="3:4" x14ac:dyDescent="0.35">
      <c r="C958" s="11"/>
      <c r="D958" s="6"/>
    </row>
    <row r="959" spans="3:4" x14ac:dyDescent="0.35">
      <c r="C959" s="11"/>
      <c r="D959" s="6"/>
    </row>
    <row r="960" spans="3:4" x14ac:dyDescent="0.35">
      <c r="C960" s="11"/>
      <c r="D960" s="6"/>
    </row>
    <row r="961" spans="3:4" x14ac:dyDescent="0.35">
      <c r="C961" s="11"/>
      <c r="D961" s="6"/>
    </row>
    <row r="962" spans="3:4" x14ac:dyDescent="0.35">
      <c r="C962" s="11"/>
      <c r="D962" s="6"/>
    </row>
    <row r="963" spans="3:4" x14ac:dyDescent="0.35">
      <c r="C963" s="11"/>
      <c r="D963" s="6"/>
    </row>
    <row r="964" spans="3:4" x14ac:dyDescent="0.35">
      <c r="C964" s="11"/>
      <c r="D964" s="6"/>
    </row>
    <row r="965" spans="3:4" x14ac:dyDescent="0.35">
      <c r="C965" s="11"/>
      <c r="D965" s="6"/>
    </row>
    <row r="966" spans="3:4" x14ac:dyDescent="0.35">
      <c r="C966" s="11"/>
      <c r="D966" s="6"/>
    </row>
    <row r="967" spans="3:4" x14ac:dyDescent="0.35">
      <c r="C967" s="11"/>
      <c r="D967" s="6"/>
    </row>
    <row r="968" spans="3:4" x14ac:dyDescent="0.35">
      <c r="C968" s="11"/>
      <c r="D968" s="6"/>
    </row>
    <row r="969" spans="3:4" x14ac:dyDescent="0.35">
      <c r="C969" s="11"/>
      <c r="D969" s="6"/>
    </row>
    <row r="970" spans="3:4" x14ac:dyDescent="0.35">
      <c r="C970" s="11"/>
      <c r="D970" s="6"/>
    </row>
    <row r="971" spans="3:4" x14ac:dyDescent="0.35">
      <c r="C971" s="11"/>
      <c r="D971" s="6"/>
    </row>
    <row r="972" spans="3:4" x14ac:dyDescent="0.35">
      <c r="C972" s="11"/>
      <c r="D972" s="6"/>
    </row>
    <row r="973" spans="3:4" x14ac:dyDescent="0.35">
      <c r="C973" s="11"/>
      <c r="D973" s="6"/>
    </row>
    <row r="974" spans="3:4" x14ac:dyDescent="0.35">
      <c r="C974" s="11"/>
      <c r="D974" s="6"/>
    </row>
    <row r="975" spans="3:4" x14ac:dyDescent="0.35">
      <c r="C975" s="11"/>
      <c r="D975" s="6"/>
    </row>
    <row r="976" spans="3:4" x14ac:dyDescent="0.35">
      <c r="C976" s="11"/>
      <c r="D976" s="6"/>
    </row>
    <row r="977" spans="3:4" x14ac:dyDescent="0.35">
      <c r="C977" s="11"/>
      <c r="D977" s="6"/>
    </row>
    <row r="978" spans="3:4" x14ac:dyDescent="0.35">
      <c r="C978" s="11"/>
      <c r="D978" s="6"/>
    </row>
    <row r="979" spans="3:4" x14ac:dyDescent="0.35">
      <c r="C979" s="11"/>
      <c r="D979" s="6"/>
    </row>
    <row r="980" spans="3:4" x14ac:dyDescent="0.35">
      <c r="C980" s="11"/>
      <c r="D980" s="6"/>
    </row>
    <row r="981" spans="3:4" x14ac:dyDescent="0.35">
      <c r="C981" s="11"/>
      <c r="D981" s="6"/>
    </row>
    <row r="982" spans="3:4" x14ac:dyDescent="0.35">
      <c r="C982" s="11"/>
      <c r="D982" s="6"/>
    </row>
    <row r="983" spans="3:4" x14ac:dyDescent="0.35">
      <c r="C983" s="11"/>
      <c r="D983" s="6"/>
    </row>
    <row r="984" spans="3:4" x14ac:dyDescent="0.35">
      <c r="C984" s="11"/>
      <c r="D984" s="6"/>
    </row>
    <row r="985" spans="3:4" x14ac:dyDescent="0.35">
      <c r="C985" s="11"/>
      <c r="D985" s="6"/>
    </row>
    <row r="986" spans="3:4" x14ac:dyDescent="0.35">
      <c r="C986" s="11"/>
      <c r="D986" s="6"/>
    </row>
    <row r="987" spans="3:4" x14ac:dyDescent="0.35">
      <c r="C987" s="11"/>
      <c r="D987" s="6"/>
    </row>
    <row r="988" spans="3:4" x14ac:dyDescent="0.35">
      <c r="C988" s="11"/>
      <c r="D988" s="6"/>
    </row>
    <row r="989" spans="3:4" x14ac:dyDescent="0.35">
      <c r="C989" s="11"/>
      <c r="D989" s="6"/>
    </row>
    <row r="990" spans="3:4" x14ac:dyDescent="0.35">
      <c r="C990" s="11"/>
      <c r="D990" s="6"/>
    </row>
    <row r="991" spans="3:4" x14ac:dyDescent="0.35">
      <c r="C991" s="11"/>
      <c r="D991" s="6"/>
    </row>
    <row r="992" spans="3:4" x14ac:dyDescent="0.35">
      <c r="C992" s="11"/>
      <c r="D992" s="6"/>
    </row>
    <row r="993" spans="3:4" x14ac:dyDescent="0.35">
      <c r="C993" s="11"/>
      <c r="D993" s="6"/>
    </row>
    <row r="994" spans="3:4" x14ac:dyDescent="0.35">
      <c r="C994" s="11"/>
      <c r="D994" s="6"/>
    </row>
    <row r="995" spans="3:4" x14ac:dyDescent="0.35">
      <c r="C995" s="11"/>
      <c r="D995" s="6"/>
    </row>
    <row r="996" spans="3:4" x14ac:dyDescent="0.35">
      <c r="C996" s="11"/>
      <c r="D996" s="6"/>
    </row>
    <row r="997" spans="3:4" x14ac:dyDescent="0.35">
      <c r="C997" s="11"/>
      <c r="D997" s="6"/>
    </row>
    <row r="998" spans="3:4" x14ac:dyDescent="0.35">
      <c r="C998" s="11"/>
      <c r="D998" s="6"/>
    </row>
    <row r="999" spans="3:4" x14ac:dyDescent="0.35">
      <c r="C999" s="11"/>
      <c r="D999" s="6"/>
    </row>
    <row r="1000" spans="3:4" x14ac:dyDescent="0.35">
      <c r="C1000" s="11"/>
      <c r="D1000" s="6"/>
    </row>
    <row r="1001" spans="3:4" x14ac:dyDescent="0.35">
      <c r="C1001" s="11"/>
      <c r="D1001" s="6"/>
    </row>
    <row r="1002" spans="3:4" x14ac:dyDescent="0.35">
      <c r="C1002" s="11"/>
      <c r="D1002" s="6"/>
    </row>
    <row r="1003" spans="3:4" x14ac:dyDescent="0.35">
      <c r="C1003" s="11"/>
      <c r="D1003" s="6"/>
    </row>
    <row r="1004" spans="3:4" x14ac:dyDescent="0.35">
      <c r="C1004" s="11"/>
      <c r="D1004" s="6"/>
    </row>
    <row r="1005" spans="3:4" x14ac:dyDescent="0.35">
      <c r="C1005" s="11"/>
      <c r="D1005" s="6"/>
    </row>
    <row r="1006" spans="3:4" x14ac:dyDescent="0.35">
      <c r="C1006" s="11"/>
      <c r="D1006" s="6"/>
    </row>
    <row r="1007" spans="3:4" x14ac:dyDescent="0.35">
      <c r="C1007" s="11"/>
      <c r="D1007" s="6"/>
    </row>
    <row r="1008" spans="3:4" x14ac:dyDescent="0.35">
      <c r="C1008" s="11"/>
      <c r="D1008" s="6"/>
    </row>
    <row r="1009" spans="3:4" x14ac:dyDescent="0.35">
      <c r="C1009" s="11"/>
      <c r="D1009" s="6"/>
    </row>
    <row r="1010" spans="3:4" x14ac:dyDescent="0.35">
      <c r="C1010" s="11"/>
      <c r="D1010" s="6"/>
    </row>
    <row r="1011" spans="3:4" x14ac:dyDescent="0.35">
      <c r="C1011" s="11"/>
      <c r="D1011" s="6"/>
    </row>
    <row r="1012" spans="3:4" x14ac:dyDescent="0.35">
      <c r="C1012" s="11"/>
      <c r="D1012" s="6"/>
    </row>
    <row r="1013" spans="3:4" x14ac:dyDescent="0.35">
      <c r="C1013" s="11"/>
      <c r="D1013" s="6"/>
    </row>
    <row r="1014" spans="3:4" x14ac:dyDescent="0.35">
      <c r="C1014" s="11"/>
      <c r="D1014" s="6"/>
    </row>
    <row r="1015" spans="3:4" x14ac:dyDescent="0.35">
      <c r="C1015" s="11"/>
      <c r="D1015" s="6"/>
    </row>
    <row r="1016" spans="3:4" x14ac:dyDescent="0.35">
      <c r="C1016" s="11"/>
      <c r="D1016" s="6"/>
    </row>
    <row r="1017" spans="3:4" x14ac:dyDescent="0.35">
      <c r="C1017" s="11"/>
      <c r="D1017" s="6"/>
    </row>
    <row r="1018" spans="3:4" x14ac:dyDescent="0.35">
      <c r="C1018" s="11"/>
      <c r="D1018" s="6"/>
    </row>
    <row r="1019" spans="3:4" x14ac:dyDescent="0.35">
      <c r="C1019" s="11"/>
      <c r="D1019" s="6"/>
    </row>
    <row r="1020" spans="3:4" x14ac:dyDescent="0.35">
      <c r="C1020" s="11"/>
      <c r="D1020" s="6"/>
    </row>
    <row r="1021" spans="3:4" x14ac:dyDescent="0.35">
      <c r="C1021" s="11"/>
      <c r="D1021" s="6"/>
    </row>
    <row r="1022" spans="3:4" x14ac:dyDescent="0.35">
      <c r="C1022" s="11"/>
      <c r="D1022" s="6"/>
    </row>
    <row r="1023" spans="3:4" x14ac:dyDescent="0.35">
      <c r="C1023" s="11"/>
      <c r="D1023" s="6"/>
    </row>
    <row r="1024" spans="3:4" x14ac:dyDescent="0.35">
      <c r="C1024" s="11"/>
      <c r="D1024" s="6"/>
    </row>
    <row r="1025" spans="3:4" x14ac:dyDescent="0.35">
      <c r="C1025" s="11"/>
      <c r="D1025" s="6"/>
    </row>
    <row r="1026" spans="3:4" x14ac:dyDescent="0.35">
      <c r="C1026" s="11"/>
      <c r="D1026" s="6"/>
    </row>
    <row r="1027" spans="3:4" x14ac:dyDescent="0.35">
      <c r="C1027" s="11"/>
      <c r="D1027" s="6"/>
    </row>
    <row r="1028" spans="3:4" x14ac:dyDescent="0.35">
      <c r="C1028" s="11"/>
      <c r="D1028" s="6"/>
    </row>
    <row r="1029" spans="3:4" x14ac:dyDescent="0.35">
      <c r="C1029" s="11"/>
      <c r="D1029" s="6"/>
    </row>
    <row r="1030" spans="3:4" x14ac:dyDescent="0.35">
      <c r="C1030" s="11"/>
      <c r="D1030" s="6"/>
    </row>
    <row r="1031" spans="3:4" x14ac:dyDescent="0.35">
      <c r="C1031" s="11"/>
      <c r="D1031" s="6"/>
    </row>
    <row r="1032" spans="3:4" x14ac:dyDescent="0.35">
      <c r="C1032" s="11"/>
      <c r="D1032" s="6"/>
    </row>
    <row r="1033" spans="3:4" x14ac:dyDescent="0.35">
      <c r="C1033" s="11"/>
      <c r="D1033" s="6"/>
    </row>
    <row r="1034" spans="3:4" x14ac:dyDescent="0.35">
      <c r="C1034" s="11"/>
      <c r="D1034" s="6"/>
    </row>
    <row r="1035" spans="3:4" x14ac:dyDescent="0.35">
      <c r="C1035" s="11"/>
      <c r="D1035" s="6"/>
    </row>
    <row r="1036" spans="3:4" x14ac:dyDescent="0.35">
      <c r="C1036" s="11"/>
      <c r="D1036" s="6"/>
    </row>
    <row r="1037" spans="3:4" x14ac:dyDescent="0.35">
      <c r="C1037" s="11"/>
      <c r="D1037" s="6"/>
    </row>
    <row r="1038" spans="3:4" x14ac:dyDescent="0.35">
      <c r="C1038" s="11"/>
      <c r="D1038" s="6"/>
    </row>
    <row r="1039" spans="3:4" x14ac:dyDescent="0.35">
      <c r="C1039" s="11"/>
      <c r="D1039" s="6"/>
    </row>
    <row r="1040" spans="3:4" x14ac:dyDescent="0.35">
      <c r="C1040" s="11"/>
      <c r="D1040" s="6"/>
    </row>
    <row r="1041" spans="3:4" x14ac:dyDescent="0.35">
      <c r="C1041" s="11"/>
      <c r="D1041" s="6"/>
    </row>
    <row r="1042" spans="3:4" x14ac:dyDescent="0.35">
      <c r="C1042" s="11"/>
      <c r="D1042" s="6"/>
    </row>
    <row r="1043" spans="3:4" x14ac:dyDescent="0.35">
      <c r="C1043" s="11"/>
      <c r="D1043" s="6"/>
    </row>
    <row r="1044" spans="3:4" x14ac:dyDescent="0.35">
      <c r="C1044" s="11"/>
      <c r="D1044" s="6"/>
    </row>
    <row r="1045" spans="3:4" x14ac:dyDescent="0.35">
      <c r="C1045" s="11"/>
      <c r="D1045" s="6"/>
    </row>
    <row r="1046" spans="3:4" x14ac:dyDescent="0.35">
      <c r="C1046" s="11"/>
      <c r="D1046" s="6"/>
    </row>
    <row r="1047" spans="3:4" x14ac:dyDescent="0.35">
      <c r="C1047" s="11"/>
      <c r="D1047" s="6"/>
    </row>
    <row r="1048" spans="3:4" x14ac:dyDescent="0.35">
      <c r="C1048" s="11"/>
      <c r="D1048" s="6"/>
    </row>
    <row r="1049" spans="3:4" x14ac:dyDescent="0.35">
      <c r="C1049" s="11"/>
      <c r="D1049" s="6"/>
    </row>
    <row r="1050" spans="3:4" x14ac:dyDescent="0.35">
      <c r="C1050" s="11"/>
      <c r="D1050" s="6"/>
    </row>
    <row r="1051" spans="3:4" x14ac:dyDescent="0.35">
      <c r="C1051" s="11"/>
      <c r="D1051" s="6"/>
    </row>
    <row r="1052" spans="3:4" x14ac:dyDescent="0.35">
      <c r="C1052" s="11"/>
      <c r="D1052" s="6"/>
    </row>
    <row r="1053" spans="3:4" x14ac:dyDescent="0.35">
      <c r="C1053" s="11"/>
      <c r="D1053" s="6"/>
    </row>
    <row r="1054" spans="3:4" x14ac:dyDescent="0.35">
      <c r="C1054" s="11"/>
      <c r="D1054" s="6"/>
    </row>
    <row r="1055" spans="3:4" x14ac:dyDescent="0.35">
      <c r="C1055" s="11"/>
      <c r="D1055" s="6"/>
    </row>
    <row r="1056" spans="3:4" x14ac:dyDescent="0.35">
      <c r="C1056" s="11"/>
      <c r="D1056" s="6"/>
    </row>
    <row r="1057" spans="3:4" x14ac:dyDescent="0.35">
      <c r="C1057" s="11"/>
      <c r="D1057" s="6"/>
    </row>
    <row r="1058" spans="3:4" x14ac:dyDescent="0.35">
      <c r="C1058" s="11"/>
      <c r="D1058" s="6"/>
    </row>
    <row r="1059" spans="3:4" x14ac:dyDescent="0.35">
      <c r="C1059" s="11"/>
      <c r="D1059" s="6"/>
    </row>
    <row r="1060" spans="3:4" x14ac:dyDescent="0.35">
      <c r="C1060" s="11"/>
      <c r="D1060" s="6"/>
    </row>
    <row r="1061" spans="3:4" x14ac:dyDescent="0.35">
      <c r="C1061" s="11"/>
      <c r="D1061" s="6"/>
    </row>
    <row r="1062" spans="3:4" x14ac:dyDescent="0.35">
      <c r="C1062" s="11"/>
      <c r="D1062" s="6"/>
    </row>
    <row r="1063" spans="3:4" x14ac:dyDescent="0.35">
      <c r="C1063" s="11"/>
      <c r="D1063" s="6"/>
    </row>
    <row r="1064" spans="3:4" x14ac:dyDescent="0.35">
      <c r="C1064" s="11"/>
      <c r="D1064" s="6"/>
    </row>
    <row r="1065" spans="3:4" x14ac:dyDescent="0.35">
      <c r="C1065" s="11"/>
      <c r="D1065" s="6"/>
    </row>
    <row r="1066" spans="3:4" x14ac:dyDescent="0.35">
      <c r="C1066" s="11"/>
      <c r="D1066" s="6"/>
    </row>
    <row r="1067" spans="3:4" x14ac:dyDescent="0.35">
      <c r="C1067" s="11"/>
      <c r="D1067" s="6"/>
    </row>
    <row r="1068" spans="3:4" x14ac:dyDescent="0.35">
      <c r="C1068" s="11"/>
      <c r="D1068" s="6"/>
    </row>
    <row r="1069" spans="3:4" x14ac:dyDescent="0.35">
      <c r="C1069" s="11"/>
      <c r="D1069" s="6"/>
    </row>
    <row r="1070" spans="3:4" x14ac:dyDescent="0.35">
      <c r="C1070" s="11"/>
      <c r="D1070" s="6"/>
    </row>
    <row r="1071" spans="3:4" x14ac:dyDescent="0.35">
      <c r="C1071" s="11"/>
      <c r="D1071" s="6"/>
    </row>
    <row r="1072" spans="3:4" x14ac:dyDescent="0.35">
      <c r="C1072" s="11"/>
      <c r="D1072" s="6"/>
    </row>
    <row r="1073" spans="3:22" x14ac:dyDescent="0.35">
      <c r="C1073" s="11"/>
      <c r="D1073" s="6"/>
    </row>
    <row r="1074" spans="3:22" x14ac:dyDescent="0.35">
      <c r="C1074" s="11"/>
      <c r="D1074" s="6"/>
    </row>
    <row r="1075" spans="3:22" x14ac:dyDescent="0.35">
      <c r="C1075" s="11"/>
      <c r="D1075" s="6"/>
    </row>
    <row r="1076" spans="3:22" x14ac:dyDescent="0.35">
      <c r="C1076" s="11"/>
      <c r="D1076" s="6"/>
    </row>
    <row r="1077" spans="3:22" x14ac:dyDescent="0.35">
      <c r="C1077" s="11"/>
      <c r="D1077" s="6"/>
    </row>
    <row r="1078" spans="3:22" x14ac:dyDescent="0.35">
      <c r="C1078" s="11"/>
      <c r="D1078" s="6"/>
    </row>
    <row r="1079" spans="3:22" x14ac:dyDescent="0.35">
      <c r="C1079" s="11"/>
      <c r="D1079" s="6"/>
    </row>
    <row r="1080" spans="3:22" x14ac:dyDescent="0.35">
      <c r="C1080" s="11"/>
      <c r="D1080" s="6"/>
      <c r="V1080" s="11"/>
    </row>
    <row r="1081" spans="3:22" x14ac:dyDescent="0.35">
      <c r="C1081" s="11"/>
      <c r="D1081" s="6"/>
      <c r="V1081" s="11"/>
    </row>
    <row r="1082" spans="3:22" x14ac:dyDescent="0.35">
      <c r="C1082" s="11"/>
      <c r="D1082" s="6"/>
      <c r="V1082" s="11"/>
    </row>
    <row r="1083" spans="3:22" x14ac:dyDescent="0.35">
      <c r="C1083" s="11"/>
      <c r="D1083" s="6"/>
      <c r="V1083" s="11"/>
    </row>
    <row r="1084" spans="3:22" x14ac:dyDescent="0.35">
      <c r="C1084" s="11"/>
      <c r="D1084" s="6"/>
      <c r="V1084" s="11"/>
    </row>
    <row r="1085" spans="3:22" x14ac:dyDescent="0.35">
      <c r="C1085" s="11"/>
      <c r="D1085" s="6"/>
      <c r="V1085" s="11"/>
    </row>
    <row r="1086" spans="3:22" x14ac:dyDescent="0.35">
      <c r="C1086" s="11"/>
      <c r="D1086" s="6"/>
      <c r="V1086" s="11"/>
    </row>
    <row r="1087" spans="3:22" x14ac:dyDescent="0.35">
      <c r="C1087" s="11"/>
      <c r="D1087" s="6"/>
      <c r="V1087" s="11"/>
    </row>
    <row r="1088" spans="3:22" x14ac:dyDescent="0.35">
      <c r="C1088" s="11"/>
      <c r="D1088" s="6"/>
      <c r="V1088" s="11"/>
    </row>
    <row r="1089" spans="3:22" x14ac:dyDescent="0.35">
      <c r="C1089" s="11"/>
      <c r="D1089" s="6"/>
      <c r="V1089" s="11"/>
    </row>
    <row r="1090" spans="3:22" x14ac:dyDescent="0.35">
      <c r="C1090" s="11"/>
      <c r="D1090" s="6"/>
      <c r="V1090" s="11"/>
    </row>
    <row r="1091" spans="3:22" x14ac:dyDescent="0.35">
      <c r="C1091" s="11"/>
      <c r="D1091" s="6"/>
      <c r="V1091" s="11"/>
    </row>
    <row r="1092" spans="3:22" x14ac:dyDescent="0.35">
      <c r="C1092" s="11"/>
      <c r="D1092" s="6"/>
      <c r="V1092" s="11"/>
    </row>
    <row r="1093" spans="3:22" x14ac:dyDescent="0.35">
      <c r="C1093" s="11"/>
      <c r="D1093" s="6"/>
      <c r="V1093" s="11"/>
    </row>
    <row r="1094" spans="3:22" x14ac:dyDescent="0.35">
      <c r="C1094" s="11"/>
      <c r="D1094" s="6"/>
      <c r="V1094" s="11"/>
    </row>
    <row r="1095" spans="3:22" x14ac:dyDescent="0.35">
      <c r="C1095" s="11"/>
      <c r="D1095" s="6"/>
      <c r="V1095" s="11"/>
    </row>
    <row r="1096" spans="3:22" x14ac:dyDescent="0.35">
      <c r="C1096" s="11"/>
      <c r="D1096" s="6"/>
      <c r="V1096" s="11"/>
    </row>
    <row r="1097" spans="3:22" x14ac:dyDescent="0.35">
      <c r="C1097" s="11"/>
      <c r="D1097" s="6"/>
      <c r="V1097" s="11"/>
    </row>
    <row r="1098" spans="3:22" x14ac:dyDescent="0.35">
      <c r="C1098" s="11"/>
      <c r="D1098" s="6"/>
      <c r="V1098" s="11"/>
    </row>
    <row r="1099" spans="3:22" x14ac:dyDescent="0.35">
      <c r="C1099" s="11"/>
      <c r="D1099" s="6"/>
      <c r="V1099" s="11"/>
    </row>
    <row r="1100" spans="3:22" x14ac:dyDescent="0.35">
      <c r="C1100" s="11"/>
      <c r="D1100" s="6"/>
      <c r="V1100" s="11"/>
    </row>
    <row r="1101" spans="3:22" x14ac:dyDescent="0.35">
      <c r="C1101" s="11"/>
      <c r="D1101" s="6"/>
      <c r="V1101" s="11"/>
    </row>
    <row r="1102" spans="3:22" x14ac:dyDescent="0.35">
      <c r="C1102" s="11"/>
      <c r="D1102" s="6"/>
      <c r="V1102" s="11"/>
    </row>
    <row r="1103" spans="3:22" x14ac:dyDescent="0.35">
      <c r="C1103" s="11"/>
      <c r="D1103" s="6"/>
      <c r="V1103" s="11"/>
    </row>
    <row r="1104" spans="3:22" x14ac:dyDescent="0.35">
      <c r="C1104" s="11"/>
      <c r="D1104" s="6"/>
      <c r="V1104" s="11"/>
    </row>
    <row r="1105" spans="3:22" x14ac:dyDescent="0.35">
      <c r="C1105" s="11"/>
      <c r="D1105" s="6"/>
      <c r="V1105" s="11"/>
    </row>
    <row r="1106" spans="3:22" x14ac:dyDescent="0.35">
      <c r="C1106" s="11"/>
      <c r="D1106" s="6"/>
      <c r="V1106" s="11"/>
    </row>
    <row r="1107" spans="3:22" x14ac:dyDescent="0.35">
      <c r="C1107" s="11"/>
      <c r="D1107" s="6"/>
      <c r="V1107" s="11"/>
    </row>
    <row r="1108" spans="3:22" x14ac:dyDescent="0.35">
      <c r="C1108" s="11"/>
      <c r="D1108" s="6"/>
      <c r="V1108" s="11"/>
    </row>
    <row r="1109" spans="3:22" x14ac:dyDescent="0.35">
      <c r="C1109" s="11"/>
      <c r="D1109" s="6"/>
      <c r="V1109" s="11"/>
    </row>
    <row r="1110" spans="3:22" x14ac:dyDescent="0.35">
      <c r="C1110" s="11"/>
      <c r="D1110" s="6"/>
      <c r="V1110" s="11"/>
    </row>
    <row r="1111" spans="3:22" x14ac:dyDescent="0.35">
      <c r="C1111" s="11"/>
      <c r="D1111" s="6"/>
      <c r="V1111" s="11"/>
    </row>
    <row r="1112" spans="3:22" x14ac:dyDescent="0.35">
      <c r="C1112" s="11"/>
      <c r="D1112" s="6"/>
      <c r="V1112" s="11"/>
    </row>
  </sheetData>
  <autoFilter ref="A1:V1112" xr:uid="{352F2F67-8F0E-4361-AB30-D94542158AC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haredContentType xmlns="Microsoft.SharePoint.Taxonomy.ContentTypeSync" SourceId="4232be5b-4ffb-4214-af88-8f7005179a28" ContentTypeId="0x010100E4D16992CA1EE344B19D066E96E82E38" PreviousValue="false" LastSyncTimeStamp="2022-11-29T22:04:55.66Z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nfECMLink xmlns="edb45690-37c2-409e-adb7-2037e5b829b8">
      <Url xsi:nil="true"/>
      <Description xsi:nil="true"/>
    </infECMLink>
    <infReviewFormID xmlns="edb45690-37c2-409e-adb7-2037e5b829b8" xsi:nil="true"/>
    <DeleteFlag xmlns="024a1253-ea78-4baa-922e-32126c0985fb" xsi:nil="true"/>
    <infPinnacleReference xmlns="edb45690-37c2-409e-adb7-2037e5b829b8" xsi:nil="true"/>
    <infResponsibleRole xmlns="edb45690-37c2-409e-adb7-2037e5b829b8" xsi:nil="true"/>
    <infLastReviewDate xmlns="edb45690-37c2-409e-adb7-2037e5b829b8" xsi:nil="true"/>
    <infHardCopyLocation xmlns="edb45690-37c2-409e-adb7-2037e5b829b8" xsi:nil="true"/>
    <infNextReviewDate xmlns="edb45690-37c2-409e-adb7-2037e5b829b8" xsi:nil="true"/>
    <infReviewPeriod xmlns="edb45690-37c2-409e-adb7-2037e5b829b8">24</infReviewPeriod>
    <infReviewStatus xmlns="edb45690-37c2-409e-adb7-2037e5b829b8" xsi:nil="true"/>
    <infDocumentType xmlns="edb45690-37c2-409e-adb7-2037e5b829b8" xsi:nil="true"/>
    <_dlc_DocId xmlns="91977a80-141e-4657-a15e-c9ae1007df90">ICINFPROJECT-791545893-220450</_dlc_DocId>
    <_dlc_DocIdUrl xmlns="91977a80-141e-4657-a15e-c9ae1007df90">
      <Url>https://npdc.sharepoint.com/sites/ICinfProjectMgmt/_layouts/15/DocIdRedir.aspx?ID=ICINFPROJECT-791545893-220450</Url>
      <Description>ICINFPROJECT-791545893-220450</Description>
    </_dlc_DocIdUrl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Infrastructure Document" ma:contentTypeID="0x010100E4D16992CA1EE344B19D066E96E82E38004C487F7D47D37A46BFCBD462EF6B5063" ma:contentTypeVersion="13" ma:contentTypeDescription="used in document libraries that follow the standardised Infrastructure document review and approval process" ma:contentTypeScope="" ma:versionID="d9a2b5906d7f8209df2e1feeab6030f2">
  <xsd:schema xmlns:xsd="http://www.w3.org/2001/XMLSchema" xmlns:xs="http://www.w3.org/2001/XMLSchema" xmlns:p="http://schemas.microsoft.com/office/2006/metadata/properties" xmlns:ns2="edb45690-37c2-409e-adb7-2037e5b829b8" xmlns:ns3="024a1253-ea78-4baa-922e-32126c0985fb" xmlns:ns4="91977a80-141e-4657-a15e-c9ae1007df90" targetNamespace="http://schemas.microsoft.com/office/2006/metadata/properties" ma:root="true" ma:fieldsID="98ebcc2b8f9e8be8bea210dae1645279" ns2:_="" ns3:_="" ns4:_="">
    <xsd:import namespace="edb45690-37c2-409e-adb7-2037e5b829b8"/>
    <xsd:import namespace="024a1253-ea78-4baa-922e-32126c0985fb"/>
    <xsd:import namespace="91977a80-141e-4657-a15e-c9ae1007df90"/>
    <xsd:element name="properties">
      <xsd:complexType>
        <xsd:sequence>
          <xsd:element name="documentManagement">
            <xsd:complexType>
              <xsd:all>
                <xsd:element ref="ns2:infResponsibleRole" minOccurs="0"/>
                <xsd:element ref="ns2:infDocumentType" minOccurs="0"/>
                <xsd:element ref="ns2:infECMLink" minOccurs="0"/>
                <xsd:element ref="ns2:infPinnacleReference" minOccurs="0"/>
                <xsd:element ref="ns2:infHardCopyLocation" minOccurs="0"/>
                <xsd:element ref="ns2:infLastReviewDate" minOccurs="0"/>
                <xsd:element ref="ns2:infReviewPeriod" minOccurs="0"/>
                <xsd:element ref="ns2:infNextReviewDate" minOccurs="0"/>
                <xsd:element ref="ns2:infReviewStatus" minOccurs="0"/>
                <xsd:element ref="ns2:infReviewFormID" minOccurs="0"/>
                <xsd:element ref="ns3:DeleteFlag" minOccurs="0"/>
                <xsd:element ref="ns4:_dlc_DocId" minOccurs="0"/>
                <xsd:element ref="ns4:_dlc_DocIdUrl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b45690-37c2-409e-adb7-2037e5b829b8" elementFormDefault="qualified">
    <xsd:import namespace="http://schemas.microsoft.com/office/2006/documentManagement/types"/>
    <xsd:import namespace="http://schemas.microsoft.com/office/infopath/2007/PartnerControls"/>
    <xsd:element name="infResponsibleRole" ma:index="2" nillable="true" ma:displayName="Responsible Role" ma:description="Role of the person responsible for the document review" ma:format="Dropdown" ma:internalName="infResponsibleRole" ma:readOnly="false">
      <xsd:simpleType>
        <xsd:restriction base="dms:Choice">
          <xsd:enumeration value="Team A Manager"/>
          <xsd:enumeration value="Team B Manager"/>
          <xsd:enumeration value="Team C Manager"/>
        </xsd:restriction>
      </xsd:simpleType>
    </xsd:element>
    <xsd:element name="infDocumentType" ma:index="3" nillable="true" ma:displayName="Document Type" ma:format="Dropdown" ma:internalName="infDocumentType" ma:readOnly="false">
      <xsd:simpleType>
        <xsd:restriction base="dms:Choice">
          <xsd:enumeration value="Advertisements"/>
          <xsd:enumeration value="Agendas"/>
          <xsd:enumeration value="Applications"/>
          <xsd:enumeration value="Asset plans, Management plans"/>
          <xsd:enumeration value="Audios and videos"/>
          <xsd:enumeration value="Brochure and pamphlets"/>
          <xsd:enumeration value="Building consents"/>
          <xsd:enumeration value="Contracts and associated documents"/>
          <xsd:enumeration value="Data source for mail merge"/>
          <xsd:enumeration value="Forms"/>
          <xsd:enumeration value="Guideline"/>
          <xsd:enumeration value="Internal document"/>
          <xsd:enumeration value="Invoices"/>
          <xsd:enumeration value="Inwards correspondence"/>
          <xsd:enumeration value="Legal documents"/>
          <xsd:enumeration value="Library items/ publications"/>
          <xsd:enumeration value="Manual"/>
          <xsd:enumeration value="Minutes"/>
          <xsd:enumeration value="Newsletters/ newspaper articles"/>
          <xsd:enumeration value="Outwards correspondence"/>
          <xsd:enumeration value="Photos and images"/>
          <xsd:enumeration value="Plans and drawings"/>
          <xsd:enumeration value="Policy"/>
          <xsd:enumeration value="Procedure"/>
          <xsd:enumeration value="Presentation"/>
          <xsd:enumeration value="Reports"/>
          <xsd:enumeration value="Scanned property files"/>
          <xsd:enumeration value="Standard/ specification"/>
          <xsd:enumeration value="Templates"/>
          <xsd:enumeration value="Valuation"/>
        </xsd:restriction>
      </xsd:simpleType>
    </xsd:element>
    <xsd:element name="infECMLink" ma:index="4" nillable="true" ma:displayName="ECM Link" ma:description="Link to ECM document" ma:format="Hyperlink" ma:internalName="infECMLink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infPinnacleReference" ma:index="5" nillable="true" ma:displayName="Pinnacle Reference" ma:description="Reference to Pinnacle document" ma:internalName="infPinnacleReference" ma:readOnly="false">
      <xsd:simpleType>
        <xsd:restriction base="dms:Text">
          <xsd:maxLength value="255"/>
        </xsd:restriction>
      </xsd:simpleType>
    </xsd:element>
    <xsd:element name="infHardCopyLocation" ma:index="6" nillable="true" ma:displayName="Hard Copy Location" ma:internalName="infHardCopyLocation" ma:readOnly="false">
      <xsd:simpleType>
        <xsd:restriction base="dms:Note">
          <xsd:maxLength value="255"/>
        </xsd:restriction>
      </xsd:simpleType>
    </xsd:element>
    <xsd:element name="infLastReviewDate" ma:index="7" nillable="true" ma:displayName="Last Review Date" ma:format="DateOnly" ma:internalName="infLastReviewDate" ma:readOnly="false">
      <xsd:simpleType>
        <xsd:restriction base="dms:DateTime"/>
      </xsd:simpleType>
    </xsd:element>
    <xsd:element name="infReviewPeriod" ma:index="8" nillable="true" ma:displayName="Review Period (in months)" ma:default="24" ma:description="review period in months. used to calculate next approval date" ma:internalName="infReviewPeriod" ma:readOnly="false" ma:percentage="FALSE">
      <xsd:simpleType>
        <xsd:restriction base="dms:Number"/>
      </xsd:simpleType>
    </xsd:element>
    <xsd:element name="infNextReviewDate" ma:index="9" nillable="true" ma:displayName="Next Review Date" ma:format="DateOnly" ma:internalName="infNextReviewDate" ma:readOnly="false">
      <xsd:simpleType>
        <xsd:restriction base="dms:DateTime"/>
      </xsd:simpleType>
    </xsd:element>
    <xsd:element name="infReviewStatus" ma:index="10" nillable="true" ma:displayName="Review Status" ma:hidden="true" ma:internalName="infReviewStatus" ma:readOnly="false">
      <xsd:simpleType>
        <xsd:restriction base="dms:Text">
          <xsd:maxLength value="255"/>
        </xsd:restriction>
      </xsd:simpleType>
    </xsd:element>
    <xsd:element name="infReviewFormID" ma:index="11" nillable="true" ma:displayName="Review Form ID" ma:hidden="true" ma:internalName="infReviewFormID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4a1253-ea78-4baa-922e-32126c0985fb" elementFormDefault="qualified">
    <xsd:import namespace="http://schemas.microsoft.com/office/2006/documentManagement/types"/>
    <xsd:import namespace="http://schemas.microsoft.com/office/infopath/2007/PartnerControls"/>
    <xsd:element name="DeleteFlag" ma:index="19" nillable="true" ma:displayName="Recycle Bin" ma:description="marks a document for deletion. Used to filter/move documents" ma:hidden="true" ma:internalName="DeleteFlag0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977a80-141e-4657-a15e-c9ae1007df90" elementFormDefault="qualified">
    <xsd:import namespace="http://schemas.microsoft.com/office/2006/documentManagement/types"/>
    <xsd:import namespace="http://schemas.microsoft.com/office/infopath/2007/PartnerControls"/>
    <xsd:element name="_dlc_DocId" ma:index="21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22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3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7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03AFBF-4180-4F62-BA0A-B0A849BC87CF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A9193061-B93A-4838-ABF5-D2238A28B8A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877374-8EF4-4F1D-AE3F-CA8E045001B5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EF65456F-65AE-4479-934A-3422FD0E7A79}">
  <ds:schemaRefs>
    <ds:schemaRef ds:uri="http://schemas.microsoft.com/office/2006/metadata/properties"/>
    <ds:schemaRef ds:uri="http://schemas.microsoft.com/office/infopath/2007/PartnerControls"/>
    <ds:schemaRef ds:uri="edb45690-37c2-409e-adb7-2037e5b829b8"/>
    <ds:schemaRef ds:uri="024a1253-ea78-4baa-922e-32126c0985fb"/>
    <ds:schemaRef ds:uri="91977a80-141e-4657-a15e-c9ae1007df90"/>
  </ds:schemaRefs>
</ds:datastoreItem>
</file>

<file path=customXml/itemProps5.xml><?xml version="1.0" encoding="utf-8"?>
<ds:datastoreItem xmlns:ds="http://schemas.openxmlformats.org/officeDocument/2006/customXml" ds:itemID="{C52D09CC-4CB4-4AED-B406-13C29F4D6C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b45690-37c2-409e-adb7-2037e5b829b8"/>
    <ds:schemaRef ds:uri="024a1253-ea78-4baa-922e-32126c0985fb"/>
    <ds:schemaRef ds:uri="91977a80-141e-4657-a15e-c9ae1007df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CTC</vt:lpstr>
      <vt:lpstr>Report</vt:lpstr>
      <vt:lpstr>Contingency</vt:lpstr>
      <vt:lpstr>Piviot Table</vt:lpstr>
      <vt:lpstr>Forecast Accuracy</vt:lpstr>
      <vt:lpstr>Financial Report</vt:lpstr>
      <vt:lpstr>Check</vt:lpstr>
      <vt:lpstr>Raw Data Entry</vt:lpstr>
      <vt:lpstr>CTC!Print_Area</vt:lpstr>
      <vt:lpstr>Report!Print_Area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Simon Drake</dc:creator>
  <cp:keywords/>
  <dc:description/>
  <cp:lastModifiedBy>Simon Drake</cp:lastModifiedBy>
  <cp:revision/>
  <dcterms:created xsi:type="dcterms:W3CDTF">2015-06-05T18:17:20Z</dcterms:created>
  <dcterms:modified xsi:type="dcterms:W3CDTF">2026-04-17T00:42:37Z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0x010100E4D16992CA1EE344B19D066E96E82E38004C487F7D47D37A46BFCBD462EF6B5063</vt:lpwstr>
  </property>
  <property fmtid="{D5CDD505-2E9C-101B-9397-08002B2CF9AE}" pid="3" name="_dlc_DocIdItemGuid">
    <vt:lpwstr>2edf24e0-76fd-4dbe-8ca3-b0d027506e8b</vt:lpwstr>
  </property>
</Properties>
</file>